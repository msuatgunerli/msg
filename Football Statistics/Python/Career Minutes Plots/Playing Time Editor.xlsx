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Desktop\Programming\Langs\Sports Analytics\Football\Python\Career Minutes Plots\"/>
    </mc:Choice>
  </mc:AlternateContent>
  <xr:revisionPtr revIDLastSave="0" documentId="13_ncr:1_{969DC23E-36CE-48BE-B21E-32B17352B349}" xr6:coauthVersionLast="47" xr6:coauthVersionMax="47" xr10:uidLastSave="{00000000-0000-0000-0000-000000000000}"/>
  <bookViews>
    <workbookView xWindow="-120" yWindow="-120" windowWidth="29040" windowHeight="15960" xr2:uid="{00000000-000D-0000-FFFF-FFFF00000000}"/>
  </bookViews>
  <sheets>
    <sheet name="Minutes" sheetId="1" r:id="rId1"/>
    <sheet name="Lionel Messi" sheetId="5" r:id="rId2"/>
    <sheet name="Lionel Messi PT" sheetId="6" r:id="rId3"/>
    <sheet name="Cristiano Ronaldo" sheetId="2" r:id="rId4"/>
    <sheet name="Cristiano Ronaldo PT" sheetId="4" r:id="rId5"/>
  </sheets>
  <definedNames>
    <definedName name="_xlnm._FilterDatabase" localSheetId="3" hidden="1">'Cristiano Ronaldo'!$A$2:$J$81</definedName>
  </definedNames>
  <calcPr calcId="191029"/>
  <pivotCaches>
    <pivotCache cacheId="0" r:id="rId6"/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2" i="5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1" i="2"/>
  <c r="V2" i="1"/>
  <c r="U2" i="1"/>
  <c r="T2" i="1"/>
  <c r="S2" i="1"/>
  <c r="R2" i="1"/>
  <c r="P2" i="1"/>
  <c r="O2" i="1"/>
  <c r="N2" i="1"/>
  <c r="M2" i="1"/>
  <c r="L2" i="1"/>
  <c r="K2" i="1"/>
</calcChain>
</file>

<file path=xl/sharedStrings.xml><?xml version="1.0" encoding="utf-8"?>
<sst xmlns="http://schemas.openxmlformats.org/spreadsheetml/2006/main" count="1065" uniqueCount="201">
  <si>
    <t>Player</t>
  </si>
  <si>
    <t>Date of Birth</t>
  </si>
  <si>
    <t>Sofiane Feghouli</t>
  </si>
  <si>
    <t>21/22</t>
  </si>
  <si>
    <t>-</t>
  </si>
  <si>
    <t>72'</t>
  </si>
  <si>
    <t>90'</t>
  </si>
  <si>
    <t>30'</t>
  </si>
  <si>
    <t>20/21</t>
  </si>
  <si>
    <t>2.803'</t>
  </si>
  <si>
    <t>288'</t>
  </si>
  <si>
    <t>570'</t>
  </si>
  <si>
    <t>19/20</t>
  </si>
  <si>
    <t>712'</t>
  </si>
  <si>
    <t>2.919'</t>
  </si>
  <si>
    <t>360'</t>
  </si>
  <si>
    <t>18/19</t>
  </si>
  <si>
    <t>2.689'</t>
  </si>
  <si>
    <t>749'</t>
  </si>
  <si>
    <t>118'</t>
  </si>
  <si>
    <t>17/18</t>
  </si>
  <si>
    <t>1.170'</t>
  </si>
  <si>
    <t>2.297'</t>
  </si>
  <si>
    <t>180'</t>
  </si>
  <si>
    <t>24'</t>
  </si>
  <si>
    <t>7'</t>
  </si>
  <si>
    <t>16/17</t>
  </si>
  <si>
    <t>1.200'</t>
  </si>
  <si>
    <t>2.544'</t>
  </si>
  <si>
    <t>202'</t>
  </si>
  <si>
    <t>15/16</t>
  </si>
  <si>
    <t>1.109'</t>
  </si>
  <si>
    <t>3.184'</t>
  </si>
  <si>
    <t>14/15</t>
  </si>
  <si>
    <t>3.099'</t>
  </si>
  <si>
    <t>1.065'</t>
  </si>
  <si>
    <t>117'</t>
  </si>
  <si>
    <t>89'</t>
  </si>
  <si>
    <t>13/14</t>
  </si>
  <si>
    <t>993'</t>
  </si>
  <si>
    <t>2.540'</t>
  </si>
  <si>
    <t>497'</t>
  </si>
  <si>
    <t>655'</t>
  </si>
  <si>
    <t>2.716'</t>
  </si>
  <si>
    <t>1.080'</t>
  </si>
  <si>
    <t>3.354'</t>
  </si>
  <si>
    <t>930'</t>
  </si>
  <si>
    <t>438'</t>
  </si>
  <si>
    <t>2.913'</t>
  </si>
  <si>
    <t>1.021'</t>
  </si>
  <si>
    <t>684'</t>
  </si>
  <si>
    <t>2.465'</t>
  </si>
  <si>
    <t>450'</t>
  </si>
  <si>
    <t>1.010'</t>
  </si>
  <si>
    <t>2.745'</t>
  </si>
  <si>
    <t>240'</t>
  </si>
  <si>
    <t>144'</t>
  </si>
  <si>
    <t>1.017'</t>
  </si>
  <si>
    <t>2.747'</t>
  </si>
  <si>
    <t>270'</t>
  </si>
  <si>
    <t>120'</t>
  </si>
  <si>
    <t>558'</t>
  </si>
  <si>
    <t>2.787'</t>
  </si>
  <si>
    <t>951'</t>
  </si>
  <si>
    <t>2.286'</t>
  </si>
  <si>
    <t>343'</t>
  </si>
  <si>
    <t>121'</t>
  </si>
  <si>
    <t>506'</t>
  </si>
  <si>
    <t>157'</t>
  </si>
  <si>
    <t>545'</t>
  </si>
  <si>
    <t>2.425'</t>
  </si>
  <si>
    <t>502'</t>
  </si>
  <si>
    <t>64'</t>
  </si>
  <si>
    <t>436'</t>
  </si>
  <si>
    <t>1.551'</t>
  </si>
  <si>
    <t>291'</t>
  </si>
  <si>
    <t>77'</t>
  </si>
  <si>
    <t>1.069'</t>
  </si>
  <si>
    <t>172'</t>
  </si>
  <si>
    <t>32'</t>
  </si>
  <si>
    <t>12/13</t>
  </si>
  <si>
    <t>11/12</t>
  </si>
  <si>
    <t>10/11</t>
  </si>
  <si>
    <t>09/10</t>
  </si>
  <si>
    <t>08/09</t>
  </si>
  <si>
    <t>07/08</t>
  </si>
  <si>
    <t>06/07</t>
  </si>
  <si>
    <t>05/06</t>
  </si>
  <si>
    <t>04/05</t>
  </si>
  <si>
    <t>03/04</t>
  </si>
  <si>
    <t>02/03</t>
  </si>
  <si>
    <t>UEFA Champions League</t>
  </si>
  <si>
    <t>Champions League</t>
  </si>
  <si>
    <t>Manchester United</t>
  </si>
  <si>
    <t>- / - / -</t>
  </si>
  <si>
    <t>Premier League</t>
  </si>
  <si>
    <t>Serie A</t>
  </si>
  <si>
    <t>Juventus FC</t>
  </si>
  <si>
    <t>1 / - / -</t>
  </si>
  <si>
    <t>3 / - / -</t>
  </si>
  <si>
    <t>Italy Cup</t>
  </si>
  <si>
    <t>Supercoppa Italiana</t>
  </si>
  <si>
    <t>1 / - / 1</t>
  </si>
  <si>
    <t>Real Madrid</t>
  </si>
  <si>
    <t>2 / - / -</t>
  </si>
  <si>
    <t>LaLiga</t>
  </si>
  <si>
    <t>FIFA Club World Cup</t>
  </si>
  <si>
    <t>Club World Cup</t>
  </si>
  <si>
    <t>Supercopa</t>
  </si>
  <si>
    <t>- / 1 / -</t>
  </si>
  <si>
    <t>UEFA Super Cup</t>
  </si>
  <si>
    <t>4 / - / -</t>
  </si>
  <si>
    <t>Copa del Rey</t>
  </si>
  <si>
    <t>4 / - / 1</t>
  </si>
  <si>
    <t>3 / - / 1</t>
  </si>
  <si>
    <t>9 / - / -</t>
  </si>
  <si>
    <t>3 / 1 / 1</t>
  </si>
  <si>
    <t>5 / 1 / -</t>
  </si>
  <si>
    <t>EFL Cup</t>
  </si>
  <si>
    <t>League Cup</t>
  </si>
  <si>
    <t>FA Cup</t>
  </si>
  <si>
    <t>5 / - / 1</t>
  </si>
  <si>
    <t>Community Shield</t>
  </si>
  <si>
    <t>8 / - / 1</t>
  </si>
  <si>
    <t>UEFA Champions League Qualifying</t>
  </si>
  <si>
    <t>Champions League Qu.</t>
  </si>
  <si>
    <t>3 / 1 / -</t>
  </si>
  <si>
    <t>Liga Portugal Bwin</t>
  </si>
  <si>
    <t>SuperLiga</t>
  </si>
  <si>
    <t>Sporting CP</t>
  </si>
  <si>
    <t>Taça de Portugal</t>
  </si>
  <si>
    <t>UEFA-Cup</t>
  </si>
  <si>
    <t>UEFA Cup</t>
  </si>
  <si>
    <t>Supertaça Cândido de Oliveira</t>
  </si>
  <si>
    <t>Supertaça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</si>
  <si>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</si>
  <si>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</si>
  <si>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</si>
  <si>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</si>
  <si>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</si>
  <si>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</si>
  <si>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</si>
  <si>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</si>
  <si>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</si>
  <si>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</si>
  <si>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Grand Total</t>
  </si>
  <si>
    <t>Column Labels</t>
  </si>
  <si>
    <t>Sum of Column10</t>
  </si>
  <si>
    <t>Cristiano Ronaldo</t>
  </si>
  <si>
    <t>Paris Saint-Germain</t>
  </si>
  <si>
    <t>Ligue 1</t>
  </si>
  <si>
    <t>FC Barcelona</t>
  </si>
  <si>
    <t>3.022'</t>
  </si>
  <si>
    <t>510'</t>
  </si>
  <si>
    <t>540'</t>
  </si>
  <si>
    <t>- / - / 1</t>
  </si>
  <si>
    <t>661'</t>
  </si>
  <si>
    <t>2.879'</t>
  </si>
  <si>
    <t>387'</t>
  </si>
  <si>
    <t>2.709'</t>
  </si>
  <si>
    <t>837'</t>
  </si>
  <si>
    <t>2.996'</t>
  </si>
  <si>
    <t>509'</t>
  </si>
  <si>
    <t>783'</t>
  </si>
  <si>
    <t>630'</t>
  </si>
  <si>
    <t>6 / - / -</t>
  </si>
  <si>
    <t>2.832'</t>
  </si>
  <si>
    <t>810'</t>
  </si>
  <si>
    <t>480'</t>
  </si>
  <si>
    <t>2.729'</t>
  </si>
  <si>
    <t>1.146'</t>
  </si>
  <si>
    <t>3.374'</t>
  </si>
  <si>
    <t>2.501'</t>
  </si>
  <si>
    <t>476'</t>
  </si>
  <si>
    <t>135'</t>
  </si>
  <si>
    <t>2.626'</t>
  </si>
  <si>
    <t>821'</t>
  </si>
  <si>
    <t>443'</t>
  </si>
  <si>
    <t>512'</t>
  </si>
  <si>
    <t>3.269'</t>
  </si>
  <si>
    <t>990'</t>
  </si>
  <si>
    <t>1.048'</t>
  </si>
  <si>
    <t>2.861'</t>
  </si>
  <si>
    <t>542'</t>
  </si>
  <si>
    <t>128'</t>
  </si>
  <si>
    <t>2.840'</t>
  </si>
  <si>
    <t>986'</t>
  </si>
  <si>
    <t>209'</t>
  </si>
  <si>
    <t>927'</t>
  </si>
  <si>
    <t>2.513'</t>
  </si>
  <si>
    <t>2.003'</t>
  </si>
  <si>
    <t>726'</t>
  </si>
  <si>
    <t>225'</t>
  </si>
  <si>
    <t>2.001'</t>
  </si>
  <si>
    <t>166'</t>
  </si>
  <si>
    <t>385'</t>
  </si>
  <si>
    <t>322'</t>
  </si>
  <si>
    <t>912'</t>
  </si>
  <si>
    <t>75'</t>
  </si>
  <si>
    <t>73'</t>
  </si>
  <si>
    <t>Lionel Messi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</si>
</sst>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2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hmet Suat" refreshedDate="44456.865424074073" createdVersion="7" refreshedVersion="7" minRefreshableVersion="3" recordCount="80" xr:uid="{641A5505-8261-4823-8A9F-F2E2FDE9D9C4}">
  <cacheSource type="worksheet">
    <worksheetSource name="Table1"/>
  </cacheSource>
  <cacheFields count="10">
    <cacheField name="Column1" numFmtId="49">
      <sharedItems count="20">
        <s v="21/22"/>
        <s v="20/21"/>
        <s v="19/20"/>
        <s v="18/19"/>
        <s v="17/18"/>
        <s v="16/17"/>
        <s v="15/16"/>
        <s v="14/15"/>
        <s v="13/14"/>
        <s v="12/13"/>
        <s v="11/12"/>
        <s v="10/11"/>
        <s v="09/10"/>
        <s v="08/09"/>
        <s v="07/08"/>
        <s v="06/07"/>
        <s v="05/06"/>
        <s v="04/05"/>
        <s v="03/04"/>
        <s v="02/03"/>
      </sharedItems>
    </cacheField>
    <cacheField name="Column2" numFmtId="2">
      <sharedItems/>
    </cacheField>
    <cacheField name="Column3" numFmtId="0">
      <sharedItems/>
    </cacheField>
    <cacheField name="Column4" numFmtId="0">
      <sharedItems/>
    </cacheField>
    <cacheField name="Column5" numFmtId="0">
      <sharedItems containsMixedTypes="1" containsNumber="1" containsInteger="1" minValue="1" maxValue="38"/>
    </cacheField>
    <cacheField name="Column6" numFmtId="0">
      <sharedItems containsMixedTypes="1" containsNumber="1" containsInteger="1" minValue="1" maxValue="48"/>
    </cacheField>
    <cacheField name="Column7" numFmtId="0">
      <sharedItems containsMixedTypes="1" containsNumber="1" containsInteger="1" minValue="1" maxValue="17"/>
    </cacheField>
    <cacheField name="Column8" numFmtId="0">
      <sharedItems/>
    </cacheField>
    <cacheField name="Column9" numFmtId="0">
      <sharedItems/>
    </cacheField>
    <cacheField name="Column10" numFmtId="0">
      <sharedItems containsSemiMixedTypes="0" containsString="0" containsNumber="1" containsInteger="1" minValue="0" maxValue="33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hmet Suat" refreshedDate="44456.869286111112" createdVersion="7" refreshedVersion="7" minRefreshableVersion="3" recordCount="72" xr:uid="{A5F3C7E3-330D-45A5-B4CE-D12E743BC641}">
  <cacheSource type="worksheet">
    <worksheetSource name="Table2"/>
  </cacheSource>
  <cacheFields count="10">
    <cacheField name="Column1" numFmtId="49">
      <sharedItems count="18">
        <s v="21/22"/>
        <s v="20/21"/>
        <s v="19/20"/>
        <s v="18/19"/>
        <s v="17/18"/>
        <s v="16/17"/>
        <s v="15/16"/>
        <s v="14/15"/>
        <s v="13/14"/>
        <s v="12/13"/>
        <s v="11/12"/>
        <s v="10/11"/>
        <s v="09/10"/>
        <s v="08/09"/>
        <s v="07/08"/>
        <s v="06/07"/>
        <s v="05/06"/>
        <s v="04/05"/>
      </sharedItems>
    </cacheField>
    <cacheField name="Column2" numFmtId="0">
      <sharedItems/>
    </cacheField>
    <cacheField name="Column3" numFmtId="0">
      <sharedItems/>
    </cacheField>
    <cacheField name="Column4" numFmtId="0">
      <sharedItems/>
    </cacheField>
    <cacheField name="Column5" numFmtId="0">
      <sharedItems containsSemiMixedTypes="0" containsString="0" containsNumber="1" containsInteger="1" minValue="1" maxValue="38"/>
    </cacheField>
    <cacheField name="Column6" numFmtId="0">
      <sharedItems containsMixedTypes="1" containsNumber="1" containsInteger="1" minValue="1" maxValue="50"/>
    </cacheField>
    <cacheField name="Column7" numFmtId="0">
      <sharedItems containsMixedTypes="1" containsNumber="1" containsInteger="1" minValue="1" maxValue="22"/>
    </cacheField>
    <cacheField name="Column8" numFmtId="0">
      <sharedItems/>
    </cacheField>
    <cacheField name="Column9" numFmtId="0">
      <sharedItems/>
    </cacheField>
    <cacheField name="Column10" numFmtId="0">
      <sharedItems containsSemiMixedTypes="0" containsString="0" containsNumber="1" containsInteger="1" minValue="24" maxValue="33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s v="UEFA Champions League"/>
    <s v="Champions League"/>
    <s v="Manchester United"/>
    <n v="1"/>
    <n v="1"/>
    <s v="-"/>
    <s v="- / - / -"/>
    <s v="72'"/>
    <n v="72"/>
  </r>
  <r>
    <x v="0"/>
    <s v="Premier League"/>
    <s v="Premier League"/>
    <s v="Manchester United"/>
    <n v="1"/>
    <n v="2"/>
    <s v="-"/>
    <s v="- / - / -"/>
    <s v="90'"/>
    <n v="90"/>
  </r>
  <r>
    <x v="0"/>
    <s v="Serie A"/>
    <s v="Serie A"/>
    <s v="Juventus FC"/>
    <n v="1"/>
    <s v="-"/>
    <s v="-"/>
    <s v="1 / - / -"/>
    <s v="30'"/>
    <n v="30"/>
  </r>
  <r>
    <x v="1"/>
    <s v="Serie A"/>
    <s v="Serie A"/>
    <s v="Juventus FC"/>
    <n v="33"/>
    <n v="29"/>
    <n v="2"/>
    <s v="3 / - / -"/>
    <s v="2.803'"/>
    <n v="2803"/>
  </r>
  <r>
    <x v="1"/>
    <s v="Italy Cup"/>
    <s v="Italy Cup"/>
    <s v="Juventus FC"/>
    <n v="4"/>
    <n v="2"/>
    <s v="-"/>
    <s v="1 / - / -"/>
    <s v="288'"/>
    <n v="288"/>
  </r>
  <r>
    <x v="1"/>
    <s v="UEFA Champions League"/>
    <s v="Champions League"/>
    <s v="Juventus FC"/>
    <n v="6"/>
    <n v="4"/>
    <n v="2"/>
    <s v="- / - / -"/>
    <s v="570'"/>
    <n v="570"/>
  </r>
  <r>
    <x v="1"/>
    <s v="Supercoppa Italiana"/>
    <s v="Supercoppa Italiana"/>
    <s v="Juventus FC"/>
    <n v="1"/>
    <n v="1"/>
    <s v="-"/>
    <s v="1 / - / -"/>
    <s v="90'"/>
    <n v="90"/>
  </r>
  <r>
    <x v="2"/>
    <s v="UEFA Champions League"/>
    <s v="Champions League"/>
    <s v="Juventus FC"/>
    <n v="8"/>
    <n v="4"/>
    <n v="1"/>
    <s v="- / - / -"/>
    <s v="712'"/>
    <n v="712"/>
  </r>
  <r>
    <x v="2"/>
    <s v="Serie A"/>
    <s v="Serie A"/>
    <s v="Juventus FC"/>
    <n v="33"/>
    <n v="31"/>
    <n v="6"/>
    <s v="3 / - / -"/>
    <s v="2.919'"/>
    <n v="2919"/>
  </r>
  <r>
    <x v="2"/>
    <s v="Italy Cup"/>
    <s v="Italy Cup"/>
    <s v="Juventus FC"/>
    <n v="4"/>
    <n v="2"/>
    <s v="-"/>
    <s v="- / - / -"/>
    <s v="360'"/>
    <n v="360"/>
  </r>
  <r>
    <x v="2"/>
    <s v="Supercoppa Italiana"/>
    <s v="Supercoppa Italiana"/>
    <s v="Juventus FC"/>
    <n v="1"/>
    <s v="-"/>
    <s v="-"/>
    <s v="- / - / -"/>
    <s v="90'"/>
    <n v="90"/>
  </r>
  <r>
    <x v="3"/>
    <s v="Serie A"/>
    <s v="Serie A"/>
    <s v="Juventus FC"/>
    <n v="31"/>
    <n v="21"/>
    <n v="9"/>
    <s v="3 / - / -"/>
    <s v="2.689'"/>
    <n v="2689"/>
  </r>
  <r>
    <x v="3"/>
    <s v="UEFA Champions League"/>
    <s v="Champions League"/>
    <s v="Juventus FC"/>
    <n v="9"/>
    <n v="6"/>
    <n v="2"/>
    <s v="1 / - / 1"/>
    <s v="749'"/>
    <n v="749"/>
  </r>
  <r>
    <x v="3"/>
    <s v="Italy Cup"/>
    <s v="Italy Cup"/>
    <s v="Juventus FC"/>
    <n v="2"/>
    <s v="-"/>
    <s v="-"/>
    <s v="- / - / -"/>
    <s v="118'"/>
    <n v="118"/>
  </r>
  <r>
    <x v="3"/>
    <s v="Supercoppa Italiana"/>
    <s v="Supercoppa Italiana"/>
    <s v="Juventus FC"/>
    <n v="1"/>
    <n v="1"/>
    <s v="-"/>
    <s v="- / - / -"/>
    <s v="90'"/>
    <n v="90"/>
  </r>
  <r>
    <x v="4"/>
    <s v="UEFA Champions League"/>
    <s v="Champions League"/>
    <s v="Real Madrid"/>
    <n v="13"/>
    <n v="15"/>
    <n v="3"/>
    <s v="2 / - / -"/>
    <s v="1.170'"/>
    <n v="1170"/>
  </r>
  <r>
    <x v="4"/>
    <s v="LaLiga"/>
    <s v="LaLiga"/>
    <s v="Real Madrid"/>
    <n v="27"/>
    <n v="26"/>
    <n v="5"/>
    <s v="1 / - / -"/>
    <s v="2.297'"/>
    <n v="2297"/>
  </r>
  <r>
    <x v="4"/>
    <s v="FIFA Club World Cup"/>
    <s v="Club World Cup"/>
    <s v="Real Madrid"/>
    <n v="2"/>
    <n v="2"/>
    <s v="-"/>
    <s v="- / - / -"/>
    <s v="180'"/>
    <n v="180"/>
  </r>
  <r>
    <x v="4"/>
    <s v="Supercopa"/>
    <s v="Supercopa"/>
    <s v="Real Madrid"/>
    <n v="1"/>
    <n v="1"/>
    <s v="-"/>
    <s v="- / 1 / -"/>
    <s v="24'"/>
    <n v="24"/>
  </r>
  <r>
    <x v="4"/>
    <s v="UEFA Super Cup"/>
    <s v="UEFA Super Cup"/>
    <s v="Real Madrid"/>
    <n v="1"/>
    <s v="-"/>
    <s v="-"/>
    <s v="- / - / -"/>
    <s v="7'"/>
    <n v="7"/>
  </r>
  <r>
    <x v="5"/>
    <s v="UEFA Champions League"/>
    <s v="Champions League"/>
    <s v="Real Madrid"/>
    <n v="13"/>
    <n v="12"/>
    <n v="6"/>
    <s v="1 / - / -"/>
    <s v="1.200'"/>
    <n v="1200"/>
  </r>
  <r>
    <x v="5"/>
    <s v="LaLiga"/>
    <s v="LaLiga"/>
    <s v="Real Madrid"/>
    <n v="29"/>
    <n v="25"/>
    <n v="6"/>
    <s v="4 / - / -"/>
    <s v="2.544'"/>
    <n v="2544"/>
  </r>
  <r>
    <x v="5"/>
    <s v="Copa del Rey"/>
    <s v="Copa del Rey"/>
    <s v="Real Madrid"/>
    <n v="2"/>
    <n v="1"/>
    <s v="-"/>
    <s v="- / - / -"/>
    <s v="180'"/>
    <n v="180"/>
  </r>
  <r>
    <x v="5"/>
    <s v="FIFA Club World Cup"/>
    <s v="Club World Cup"/>
    <s v="Real Madrid"/>
    <n v="2"/>
    <n v="4"/>
    <s v="-"/>
    <s v="- / - / -"/>
    <s v="202'"/>
    <n v="202"/>
  </r>
  <r>
    <x v="6"/>
    <s v="UEFA Champions League"/>
    <s v="Champions League"/>
    <s v="Real Madrid"/>
    <n v="12"/>
    <n v="16"/>
    <n v="4"/>
    <s v="1 / - / -"/>
    <s v="1.109'"/>
    <n v="1109"/>
  </r>
  <r>
    <x v="6"/>
    <s v="LaLiga"/>
    <s v="LaLiga"/>
    <s v="Real Madrid"/>
    <n v="36"/>
    <n v="35"/>
    <n v="11"/>
    <s v="2 / - / -"/>
    <s v="3.184'"/>
    <n v="3184"/>
  </r>
  <r>
    <x v="7"/>
    <s v="LaLiga"/>
    <s v="LaLiga"/>
    <s v="Real Madrid"/>
    <n v="35"/>
    <n v="48"/>
    <n v="17"/>
    <s v="4 / - / 1"/>
    <s v="3.099'"/>
    <n v="3099"/>
  </r>
  <r>
    <x v="7"/>
    <s v="UEFA Champions League"/>
    <s v="Champions League"/>
    <s v="Real Madrid"/>
    <n v="12"/>
    <n v="10"/>
    <n v="4"/>
    <s v="1 / - / -"/>
    <s v="1.065'"/>
    <n v="1065"/>
  </r>
  <r>
    <x v="7"/>
    <s v="Copa del Rey"/>
    <s v="Copa del Rey"/>
    <s v="Real Madrid"/>
    <n v="2"/>
    <n v="1"/>
    <s v="-"/>
    <s v="- / - / -"/>
    <s v="117'"/>
    <n v="117"/>
  </r>
  <r>
    <x v="7"/>
    <s v="FIFA Club World Cup"/>
    <s v="Club World Cup"/>
    <s v="Real Madrid"/>
    <n v="2"/>
    <s v="-"/>
    <n v="2"/>
    <s v="- / - / -"/>
    <s v="180'"/>
    <n v="180"/>
  </r>
  <r>
    <x v="7"/>
    <s v="Supercopa"/>
    <s v="Supercopa"/>
    <s v="Real Madrid"/>
    <n v="2"/>
    <s v="-"/>
    <s v="-"/>
    <s v="1 / - / -"/>
    <s v="89'"/>
    <n v="89"/>
  </r>
  <r>
    <x v="7"/>
    <s v="UEFA Super Cup"/>
    <s v="UEFA Super Cup"/>
    <s v="Real Madrid"/>
    <n v="1"/>
    <n v="2"/>
    <s v="-"/>
    <s v="- / - / -"/>
    <s v="90'"/>
    <n v="90"/>
  </r>
  <r>
    <x v="8"/>
    <s v="UEFA Champions League"/>
    <s v="Champions League"/>
    <s v="Real Madrid"/>
    <n v="11"/>
    <n v="17"/>
    <n v="5"/>
    <s v="1 / - / -"/>
    <s v="993'"/>
    <n v="993"/>
  </r>
  <r>
    <x v="8"/>
    <s v="LaLiga"/>
    <s v="LaLiga"/>
    <s v="Real Madrid"/>
    <n v="30"/>
    <n v="31"/>
    <n v="11"/>
    <s v="4 / - / 1"/>
    <s v="2.540'"/>
    <n v="2540"/>
  </r>
  <r>
    <x v="8"/>
    <s v="Copa del Rey"/>
    <s v="Copa del Rey"/>
    <s v="Real Madrid"/>
    <n v="6"/>
    <n v="3"/>
    <n v="1"/>
    <s v="2 / - / -"/>
    <s v="497'"/>
    <n v="497"/>
  </r>
  <r>
    <x v="9"/>
    <s v="Copa del Rey"/>
    <s v="Copa del Rey"/>
    <s v="Real Madrid"/>
    <n v="7"/>
    <n v="7"/>
    <n v="1"/>
    <s v="3 / - / 1"/>
    <s v="655'"/>
    <n v="655"/>
  </r>
  <r>
    <x v="9"/>
    <s v="LaLiga"/>
    <s v="LaLiga"/>
    <s v="Real Madrid"/>
    <n v="34"/>
    <n v="34"/>
    <n v="11"/>
    <s v="9 / - / -"/>
    <s v="2.716'"/>
    <n v="2716"/>
  </r>
  <r>
    <x v="9"/>
    <s v="UEFA Champions League"/>
    <s v="Champions League"/>
    <s v="Real Madrid"/>
    <n v="12"/>
    <n v="12"/>
    <n v="1"/>
    <s v="1 / - / -"/>
    <s v="1.080'"/>
    <n v="1080"/>
  </r>
  <r>
    <x v="9"/>
    <s v="Supercopa"/>
    <s v="Supercopa"/>
    <s v="Real Madrid"/>
    <n v="2"/>
    <n v="2"/>
    <s v="-"/>
    <s v="- / - / -"/>
    <s v="180'"/>
    <n v="180"/>
  </r>
  <r>
    <x v="10"/>
    <s v="LaLiga"/>
    <s v="LaLiga"/>
    <s v="Real Madrid"/>
    <n v="38"/>
    <n v="46"/>
    <n v="12"/>
    <s v="4 / - / -"/>
    <s v="3.354'"/>
    <n v="3354"/>
  </r>
  <r>
    <x v="10"/>
    <s v="UEFA Champions League"/>
    <s v="Champions League"/>
    <s v="Real Madrid"/>
    <n v="10"/>
    <n v="10"/>
    <n v="3"/>
    <s v="1 / - / -"/>
    <s v="930'"/>
    <n v="930"/>
  </r>
  <r>
    <x v="10"/>
    <s v="Copa del Rey"/>
    <s v="Copa del Rey"/>
    <s v="Real Madrid"/>
    <n v="5"/>
    <n v="3"/>
    <s v="-"/>
    <s v="1 / - / -"/>
    <s v="438'"/>
    <n v="438"/>
  </r>
  <r>
    <x v="10"/>
    <s v="Supercopa"/>
    <s v="Supercopa"/>
    <s v="Real Madrid"/>
    <n v="2"/>
    <n v="1"/>
    <s v="-"/>
    <s v="1 / - / -"/>
    <s v="180'"/>
    <n v="180"/>
  </r>
  <r>
    <x v="11"/>
    <s v="LaLiga"/>
    <s v="LaLiga"/>
    <s v="Real Madrid"/>
    <n v="34"/>
    <n v="40"/>
    <n v="13"/>
    <s v="2 / - / -"/>
    <s v="2.913'"/>
    <n v="2913"/>
  </r>
  <r>
    <x v="11"/>
    <s v="UEFA Champions League"/>
    <s v="Champions League"/>
    <s v="Real Madrid"/>
    <n v="12"/>
    <n v="6"/>
    <n v="4"/>
    <s v="2 / - / -"/>
    <s v="1.021'"/>
    <n v="1021"/>
  </r>
  <r>
    <x v="11"/>
    <s v="Copa del Rey"/>
    <s v="Copa del Rey"/>
    <s v="Real Madrid"/>
    <n v="8"/>
    <n v="7"/>
    <n v="1"/>
    <s v="3 / - / -"/>
    <s v="684'"/>
    <n v="684"/>
  </r>
  <r>
    <x v="12"/>
    <s v="LaLiga"/>
    <s v="LaLiga"/>
    <s v="Real Madrid"/>
    <n v="29"/>
    <n v="26"/>
    <n v="10"/>
    <s v="3 / 1 / 1"/>
    <s v="2.465'"/>
    <n v="2465"/>
  </r>
  <r>
    <x v="12"/>
    <s v="UEFA Champions League"/>
    <s v="Champions League"/>
    <s v="Real Madrid"/>
    <n v="6"/>
    <n v="7"/>
    <n v="1"/>
    <s v="- / - / -"/>
    <s v="450'"/>
    <n v="450"/>
  </r>
  <r>
    <x v="13"/>
    <s v="UEFA Champions League"/>
    <s v="Champions League"/>
    <s v="Manchester United"/>
    <n v="12"/>
    <n v="4"/>
    <n v="3"/>
    <s v="2 / - / -"/>
    <s v="1.010'"/>
    <n v="1010"/>
  </r>
  <r>
    <x v="13"/>
    <s v="Premier League"/>
    <s v="Premier League"/>
    <s v="Manchester United"/>
    <n v="33"/>
    <n v="18"/>
    <n v="7"/>
    <s v="5 / 1 / -"/>
    <s v="2.745'"/>
    <n v="2745"/>
  </r>
  <r>
    <x v="13"/>
    <s v="EFL Cup"/>
    <s v="League Cup"/>
    <s v="Manchester United"/>
    <n v="4"/>
    <n v="2"/>
    <s v="-"/>
    <s v="1 / - / -"/>
    <s v="240'"/>
    <n v="240"/>
  </r>
  <r>
    <x v="13"/>
    <s v="FA Cup"/>
    <s v="FA Cup"/>
    <s v="Manchester United"/>
    <n v="2"/>
    <n v="1"/>
    <n v="1"/>
    <s v="- / - / -"/>
    <s v="144'"/>
    <n v="144"/>
  </r>
  <r>
    <x v="13"/>
    <s v="FIFA Club World Cup"/>
    <s v="Club World Cup"/>
    <s v="Manchester United"/>
    <n v="2"/>
    <n v="1"/>
    <n v="1"/>
    <s v="- / - / -"/>
    <s v="180'"/>
    <n v="180"/>
  </r>
  <r>
    <x v="14"/>
    <s v="UEFA Champions League"/>
    <s v="Champions League"/>
    <s v="Manchester United"/>
    <n v="11"/>
    <n v="8"/>
    <n v="1"/>
    <s v="2 / - / -"/>
    <s v="1.017'"/>
    <n v="1017"/>
  </r>
  <r>
    <x v="14"/>
    <s v="Premier League"/>
    <s v="Premier League"/>
    <s v="Manchester United"/>
    <n v="34"/>
    <n v="31"/>
    <n v="7"/>
    <s v="5 / - / 1"/>
    <s v="2.747'"/>
    <n v="2747"/>
  </r>
  <r>
    <x v="14"/>
    <s v="FA Cup"/>
    <s v="FA Cup"/>
    <s v="Manchester United"/>
    <n v="3"/>
    <n v="3"/>
    <s v="-"/>
    <s v="- / - / -"/>
    <s v="270'"/>
    <n v="270"/>
  </r>
  <r>
    <x v="14"/>
    <s v="Community Shield"/>
    <s v="Community Shield"/>
    <s v="Manchester United"/>
    <n v="1"/>
    <s v="-"/>
    <s v="-"/>
    <s v="- / - / -"/>
    <s v="120'"/>
    <n v="120"/>
  </r>
  <r>
    <x v="15"/>
    <s v="FA Cup"/>
    <s v="FA Cup"/>
    <s v="Manchester United"/>
    <n v="7"/>
    <n v="3"/>
    <n v="1"/>
    <s v="- / - / -"/>
    <s v="558'"/>
    <n v="558"/>
  </r>
  <r>
    <x v="15"/>
    <s v="Premier League"/>
    <s v="Premier League"/>
    <s v="Manchester United"/>
    <n v="34"/>
    <n v="17"/>
    <n v="16"/>
    <s v="2 / - / -"/>
    <s v="2.787'"/>
    <n v="2787"/>
  </r>
  <r>
    <x v="15"/>
    <s v="UEFA Champions League"/>
    <s v="Champions League"/>
    <s v="Manchester United"/>
    <n v="11"/>
    <n v="3"/>
    <n v="5"/>
    <s v="3 / - / -"/>
    <s v="951'"/>
    <n v="951"/>
  </r>
  <r>
    <x v="15"/>
    <s v="EFL Cup"/>
    <s v="League Cup"/>
    <s v="Manchester United"/>
    <n v="1"/>
    <s v="-"/>
    <s v="-"/>
    <s v="- / - / -"/>
    <s v="90'"/>
    <n v="90"/>
  </r>
  <r>
    <x v="16"/>
    <s v="Premier League"/>
    <s v="Premier League"/>
    <s v="Manchester United"/>
    <n v="33"/>
    <n v="9"/>
    <n v="7"/>
    <s v="8 / - / 1"/>
    <s v="2.286'"/>
    <n v="2286"/>
  </r>
  <r>
    <x v="16"/>
    <s v="EFL Cup"/>
    <s v="League Cup"/>
    <s v="Manchester United"/>
    <n v="4"/>
    <n v="2"/>
    <n v="1"/>
    <s v="1 / - / -"/>
    <s v="343'"/>
    <n v="343"/>
  </r>
  <r>
    <x v="16"/>
    <s v="FA Cup"/>
    <s v="FA Cup"/>
    <s v="Manchester United"/>
    <n v="2"/>
    <s v="-"/>
    <s v="-"/>
    <s v="- / - / -"/>
    <s v="121'"/>
    <n v="121"/>
  </r>
  <r>
    <x v="16"/>
    <s v="UEFA Champions League"/>
    <s v="Champions League"/>
    <s v="Manchester United"/>
    <n v="6"/>
    <s v="-"/>
    <s v="-"/>
    <s v="1 / - / -"/>
    <s v="506'"/>
    <n v="506"/>
  </r>
  <r>
    <x v="16"/>
    <s v="UEFA Champions League Qualifying"/>
    <s v="Champions League Qu."/>
    <s v="Manchester United"/>
    <n v="2"/>
    <n v="1"/>
    <n v="1"/>
    <s v="- / - / -"/>
    <s v="157'"/>
    <n v="157"/>
  </r>
  <r>
    <x v="17"/>
    <s v="FA Cup"/>
    <s v="FA Cup"/>
    <s v="Manchester United"/>
    <n v="7"/>
    <n v="4"/>
    <n v="3"/>
    <s v="1 / - / -"/>
    <s v="545'"/>
    <n v="545"/>
  </r>
  <r>
    <x v="17"/>
    <s v="Premier League"/>
    <s v="Premier League"/>
    <s v="Manchester United"/>
    <n v="33"/>
    <n v="5"/>
    <n v="4"/>
    <s v="3 / - / -"/>
    <s v="2.425'"/>
    <n v="2425"/>
  </r>
  <r>
    <x v="17"/>
    <s v="UEFA Champions League"/>
    <s v="Champions League"/>
    <s v="Manchester United"/>
    <n v="7"/>
    <s v="-"/>
    <n v="2"/>
    <s v="- / - / -"/>
    <s v="502'"/>
    <n v="502"/>
  </r>
  <r>
    <x v="17"/>
    <s v="EFL Cup"/>
    <s v="League Cup"/>
    <s v="Manchester United"/>
    <n v="2"/>
    <s v="-"/>
    <s v="-"/>
    <s v="1 / - / -"/>
    <s v="180'"/>
    <n v="180"/>
  </r>
  <r>
    <x v="17"/>
    <s v="UEFA Champions League Qualifying"/>
    <s v="Champions League Qu."/>
    <s v="Manchester United"/>
    <n v="1"/>
    <s v="-"/>
    <s v="-"/>
    <s v="- / - / -"/>
    <s v="64'"/>
    <n v="64"/>
  </r>
  <r>
    <x v="18"/>
    <s v="FA Cup"/>
    <s v="FA Cup"/>
    <s v="Manchester United"/>
    <n v="5"/>
    <n v="2"/>
    <n v="4"/>
    <s v="- / - / -"/>
    <s v="436'"/>
    <n v="436"/>
  </r>
  <r>
    <x v="18"/>
    <s v="Premier League"/>
    <s v="Premier League"/>
    <s v="Manchester United"/>
    <n v="29"/>
    <n v="4"/>
    <n v="4"/>
    <s v="3 / 1 / -"/>
    <s v="1.551'"/>
    <n v="1551"/>
  </r>
  <r>
    <x v="18"/>
    <s v="UEFA Champions League"/>
    <s v="Champions League"/>
    <s v="Manchester United"/>
    <n v="5"/>
    <s v="-"/>
    <n v="1"/>
    <s v="- / - / -"/>
    <s v="291'"/>
    <n v="291"/>
  </r>
  <r>
    <x v="18"/>
    <s v="EFL Cup"/>
    <s v="League Cup"/>
    <s v="Manchester United"/>
    <n v="1"/>
    <s v="-"/>
    <s v="-"/>
    <s v="- / - / -"/>
    <s v="77'"/>
    <n v="77"/>
  </r>
  <r>
    <x v="19"/>
    <s v="Liga Portugal Bwin"/>
    <s v="SuperLiga"/>
    <s v="Sporting CP"/>
    <n v="25"/>
    <n v="3"/>
    <n v="5"/>
    <s v="1 / - / -"/>
    <s v="1.069'"/>
    <n v="1069"/>
  </r>
  <r>
    <x v="19"/>
    <s v="Taça de Portugal"/>
    <s v="Taça de Portugal"/>
    <s v="Sporting CP"/>
    <n v="3"/>
    <n v="2"/>
    <s v="-"/>
    <s v="- / - / -"/>
    <s v="172'"/>
    <n v="172"/>
  </r>
  <r>
    <x v="19"/>
    <s v="UEFA-Cup"/>
    <s v="UEFA Cup"/>
    <s v="Sporting CP"/>
    <n v="2"/>
    <s v="-"/>
    <n v="1"/>
    <s v="- / - / -"/>
    <s v="118'"/>
    <n v="118"/>
  </r>
  <r>
    <x v="19"/>
    <s v="Supertaça Cândido de Oliveira"/>
    <s v="Supertaça"/>
    <s v="Sporting CP"/>
    <s v="-"/>
    <s v="-"/>
    <s v="-"/>
    <s v="- / - / -"/>
    <s v="-"/>
    <n v="0"/>
  </r>
  <r>
    <x v="19"/>
    <s v="UEFA Champions League Qualifying"/>
    <s v="Champions League Qu."/>
    <s v="Sporting CP"/>
    <n v="1"/>
    <s v="-"/>
    <s v="-"/>
    <s v="- / - / -"/>
    <s v="32'"/>
    <n v="3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s v="UEFA Champions League"/>
    <s v="Champions League"/>
    <s v="Paris Saint-Germain"/>
    <n v="1"/>
    <s v="-"/>
    <s v="-"/>
    <s v="1 / - / -"/>
    <s v="90'"/>
    <n v="90"/>
  </r>
  <r>
    <x v="0"/>
    <s v="Ligue 1"/>
    <s v="Ligue 1"/>
    <s v="Paris Saint-Germain"/>
    <n v="1"/>
    <s v="-"/>
    <s v="-"/>
    <s v="- / - / -"/>
    <s v="24'"/>
    <n v="24"/>
  </r>
  <r>
    <x v="1"/>
    <s v="LaLiga"/>
    <s v="LaLiga"/>
    <s v="FC Barcelona"/>
    <n v="35"/>
    <n v="30"/>
    <n v="11"/>
    <s v="4 / - / -"/>
    <s v="3.022'"/>
    <n v="3022"/>
  </r>
  <r>
    <x v="1"/>
    <s v="Copa del Rey"/>
    <s v="Copa del Rey"/>
    <s v="FC Barcelona"/>
    <n v="5"/>
    <n v="3"/>
    <n v="1"/>
    <s v="2 / - / -"/>
    <s v="510'"/>
    <n v="510"/>
  </r>
  <r>
    <x v="1"/>
    <s v="UEFA Champions League"/>
    <s v="Champions League"/>
    <s v="FC Barcelona"/>
    <n v="6"/>
    <n v="5"/>
    <n v="2"/>
    <s v="- / - / -"/>
    <s v="540'"/>
    <n v="540"/>
  </r>
  <r>
    <x v="1"/>
    <s v="Supercopa"/>
    <s v="Supercopa"/>
    <s v="FC Barcelona"/>
    <n v="1"/>
    <s v="-"/>
    <s v="-"/>
    <s v="- / - / 1"/>
    <s v="120'"/>
    <n v="120"/>
  </r>
  <r>
    <x v="2"/>
    <s v="UEFA Champions League"/>
    <s v="Champions League"/>
    <s v="FC Barcelona"/>
    <n v="8"/>
    <n v="3"/>
    <n v="4"/>
    <s v="2 / - / -"/>
    <s v="661'"/>
    <n v="661"/>
  </r>
  <r>
    <x v="2"/>
    <s v="LaLiga"/>
    <s v="LaLiga"/>
    <s v="FC Barcelona"/>
    <n v="33"/>
    <n v="25"/>
    <n v="22"/>
    <s v="4 / - / -"/>
    <s v="2.879'"/>
    <n v="2879"/>
  </r>
  <r>
    <x v="2"/>
    <s v="Copa del Rey"/>
    <s v="Copa del Rey"/>
    <s v="FC Barcelona"/>
    <n v="2"/>
    <n v="2"/>
    <n v="1"/>
    <s v="1 / - / -"/>
    <s v="180'"/>
    <n v="180"/>
  </r>
  <r>
    <x v="2"/>
    <s v="Supercopa"/>
    <s v="Supercopa"/>
    <s v="FC Barcelona"/>
    <n v="1"/>
    <n v="1"/>
    <s v="-"/>
    <s v="- / - / -"/>
    <s v="90'"/>
    <n v="90"/>
  </r>
  <r>
    <x v="3"/>
    <s v="Copa del Rey"/>
    <s v="Copa del Rey"/>
    <s v="FC Barcelona"/>
    <n v="5"/>
    <n v="3"/>
    <n v="3"/>
    <s v="- / - / -"/>
    <s v="387'"/>
    <n v="387"/>
  </r>
  <r>
    <x v="3"/>
    <s v="LaLiga"/>
    <s v="LaLiga"/>
    <s v="FC Barcelona"/>
    <n v="34"/>
    <n v="36"/>
    <n v="14"/>
    <s v="3 / - / -"/>
    <s v="2.709'"/>
    <n v="2709"/>
  </r>
  <r>
    <x v="3"/>
    <s v="UEFA Champions League"/>
    <s v="Champions League"/>
    <s v="FC Barcelona"/>
    <n v="10"/>
    <n v="12"/>
    <n v="3"/>
    <s v="- / - / -"/>
    <s v="837'"/>
    <n v="837"/>
  </r>
  <r>
    <x v="3"/>
    <s v="Supercopa"/>
    <s v="Supercopa"/>
    <s v="FC Barcelona"/>
    <n v="1"/>
    <s v="-"/>
    <n v="2"/>
    <s v="- / - / -"/>
    <s v="90'"/>
    <n v="90"/>
  </r>
  <r>
    <x v="4"/>
    <s v="LaLiga"/>
    <s v="LaLiga"/>
    <s v="FC Barcelona"/>
    <n v="36"/>
    <n v="34"/>
    <n v="14"/>
    <s v="3 / - / -"/>
    <s v="2.996'"/>
    <n v="2996"/>
  </r>
  <r>
    <x v="4"/>
    <s v="Copa del Rey"/>
    <s v="Copa del Rey"/>
    <s v="FC Barcelona"/>
    <n v="6"/>
    <n v="4"/>
    <n v="4"/>
    <s v="1 / - / -"/>
    <s v="509'"/>
    <n v="509"/>
  </r>
  <r>
    <x v="4"/>
    <s v="UEFA Champions League"/>
    <s v="Champions League"/>
    <s v="FC Barcelona"/>
    <n v="10"/>
    <n v="6"/>
    <n v="2"/>
    <s v="2 / - / -"/>
    <s v="783'"/>
    <n v="783"/>
  </r>
  <r>
    <x v="4"/>
    <s v="Supercopa"/>
    <s v="Supercopa"/>
    <s v="FC Barcelona"/>
    <n v="2"/>
    <n v="1"/>
    <s v="-"/>
    <s v="1 / - / -"/>
    <s v="180'"/>
    <n v="180"/>
  </r>
  <r>
    <x v="5"/>
    <s v="Copa del Rey"/>
    <s v="Copa del Rey"/>
    <s v="FC Barcelona"/>
    <n v="7"/>
    <n v="5"/>
    <n v="4"/>
    <s v="3 / - / -"/>
    <s v="630'"/>
    <n v="630"/>
  </r>
  <r>
    <x v="5"/>
    <s v="LaLiga"/>
    <s v="LaLiga"/>
    <s v="FC Barcelona"/>
    <n v="34"/>
    <n v="37"/>
    <n v="12"/>
    <s v="6 / - / -"/>
    <s v="2.832'"/>
    <n v="2832"/>
  </r>
  <r>
    <x v="5"/>
    <s v="UEFA Champions League"/>
    <s v="Champions League"/>
    <s v="FC Barcelona"/>
    <n v="9"/>
    <n v="11"/>
    <n v="2"/>
    <s v="- / - / -"/>
    <s v="810'"/>
    <n v="810"/>
  </r>
  <r>
    <x v="5"/>
    <s v="Supercopa"/>
    <s v="Supercopa"/>
    <s v="FC Barcelona"/>
    <n v="2"/>
    <n v="1"/>
    <n v="2"/>
    <s v="- / - / -"/>
    <s v="180'"/>
    <n v="180"/>
  </r>
  <r>
    <x v="6"/>
    <s v="Copa del Rey"/>
    <s v="Copa del Rey"/>
    <s v="FC Barcelona"/>
    <n v="5"/>
    <n v="5"/>
    <n v="6"/>
    <s v="1 / - / -"/>
    <s v="480'"/>
    <n v="480"/>
  </r>
  <r>
    <x v="6"/>
    <s v="LaLiga"/>
    <s v="LaLiga"/>
    <s v="FC Barcelona"/>
    <n v="33"/>
    <n v="26"/>
    <n v="16"/>
    <s v="3 / - / -"/>
    <s v="2.729'"/>
    <n v="2729"/>
  </r>
  <r>
    <x v="6"/>
    <s v="UEFA Champions League"/>
    <s v="Champions League"/>
    <s v="FC Barcelona"/>
    <n v="7"/>
    <n v="6"/>
    <n v="1"/>
    <s v="1 / - / -"/>
    <s v="630'"/>
    <n v="630"/>
  </r>
  <r>
    <x v="6"/>
    <s v="FIFA Club World Cup"/>
    <s v="Club World Cup"/>
    <s v="FC Barcelona"/>
    <n v="1"/>
    <n v="1"/>
    <s v="-"/>
    <s v="- / - / -"/>
    <s v="90'"/>
    <n v="90"/>
  </r>
  <r>
    <x v="6"/>
    <s v="Supercopa"/>
    <s v="Supercopa"/>
    <s v="FC Barcelona"/>
    <n v="2"/>
    <n v="1"/>
    <s v="-"/>
    <s v="- / - / -"/>
    <s v="180'"/>
    <n v="180"/>
  </r>
  <r>
    <x v="6"/>
    <s v="UEFA Super Cup"/>
    <s v="UEFA Super Cup"/>
    <s v="FC Barcelona"/>
    <n v="1"/>
    <n v="2"/>
    <n v="1"/>
    <s v="- / - / -"/>
    <s v="120'"/>
    <n v="120"/>
  </r>
  <r>
    <x v="7"/>
    <s v="UEFA Champions League"/>
    <s v="Champions League"/>
    <s v="FC Barcelona"/>
    <n v="13"/>
    <n v="10"/>
    <n v="6"/>
    <s v="1 / - / -"/>
    <s v="1.146'"/>
    <n v="1146"/>
  </r>
  <r>
    <x v="7"/>
    <s v="Copa del Rey"/>
    <s v="Copa del Rey"/>
    <s v="FC Barcelona"/>
    <n v="6"/>
    <n v="5"/>
    <n v="4"/>
    <s v="1 / - / -"/>
    <s v="540'"/>
    <n v="540"/>
  </r>
  <r>
    <x v="7"/>
    <s v="LaLiga"/>
    <s v="LaLiga"/>
    <s v="FC Barcelona"/>
    <n v="38"/>
    <n v="43"/>
    <n v="21"/>
    <s v="4 / - / -"/>
    <s v="3.374'"/>
    <n v="3374"/>
  </r>
  <r>
    <x v="8"/>
    <s v="LaLiga"/>
    <s v="LaLiga"/>
    <s v="FC Barcelona"/>
    <n v="31"/>
    <n v="28"/>
    <n v="11"/>
    <s v="2 / - / -"/>
    <s v="2.501'"/>
    <n v="2501"/>
  </r>
  <r>
    <x v="8"/>
    <s v="Copa del Rey"/>
    <s v="Copa del Rey"/>
    <s v="FC Barcelona"/>
    <n v="6"/>
    <n v="5"/>
    <n v="3"/>
    <s v="1 / - / -"/>
    <s v="476'"/>
    <n v="476"/>
  </r>
  <r>
    <x v="8"/>
    <s v="UEFA Champions League"/>
    <s v="Champions League"/>
    <s v="FC Barcelona"/>
    <n v="7"/>
    <n v="8"/>
    <s v="-"/>
    <s v="- / - / -"/>
    <s v="630'"/>
    <n v="630"/>
  </r>
  <r>
    <x v="8"/>
    <s v="Supercopa"/>
    <s v="Supercopa"/>
    <s v="FC Barcelona"/>
    <n v="2"/>
    <s v="-"/>
    <s v="-"/>
    <s v="- / - / -"/>
    <s v="135'"/>
    <n v="135"/>
  </r>
  <r>
    <x v="9"/>
    <s v="LaLiga"/>
    <s v="LaLiga"/>
    <s v="FC Barcelona"/>
    <n v="32"/>
    <n v="46"/>
    <n v="13"/>
    <s v="1 / - / -"/>
    <s v="2.626'"/>
    <n v="2626"/>
  </r>
  <r>
    <x v="9"/>
    <s v="UEFA Champions League"/>
    <s v="Champions League"/>
    <s v="FC Barcelona"/>
    <n v="11"/>
    <n v="8"/>
    <n v="3"/>
    <s v="- / - / -"/>
    <s v="821'"/>
    <n v="821"/>
  </r>
  <r>
    <x v="9"/>
    <s v="Copa del Rey"/>
    <s v="Copa del Rey"/>
    <s v="FC Barcelona"/>
    <n v="5"/>
    <n v="4"/>
    <n v="1"/>
    <s v="1 / - / -"/>
    <s v="443'"/>
    <n v="443"/>
  </r>
  <r>
    <x v="9"/>
    <s v="Supercopa"/>
    <s v="Supercopa"/>
    <s v="FC Barcelona"/>
    <n v="2"/>
    <n v="2"/>
    <s v="-"/>
    <s v="- / - / -"/>
    <s v="180'"/>
    <n v="180"/>
  </r>
  <r>
    <x v="10"/>
    <s v="Copa del Rey"/>
    <s v="Copa del Rey"/>
    <s v="FC Barcelona"/>
    <n v="7"/>
    <n v="3"/>
    <n v="4"/>
    <s v="1 / - / -"/>
    <s v="512'"/>
    <n v="512"/>
  </r>
  <r>
    <x v="10"/>
    <s v="LaLiga"/>
    <s v="LaLiga"/>
    <s v="FC Barcelona"/>
    <n v="37"/>
    <n v="50"/>
    <n v="19"/>
    <s v="6 / - / -"/>
    <s v="3.269'"/>
    <n v="3269"/>
  </r>
  <r>
    <x v="10"/>
    <s v="UEFA Champions League"/>
    <s v="Champions League"/>
    <s v="FC Barcelona"/>
    <n v="11"/>
    <n v="14"/>
    <n v="5"/>
    <s v="2 / - / -"/>
    <s v="990'"/>
    <n v="990"/>
  </r>
  <r>
    <x v="10"/>
    <s v="FIFA Club World Cup"/>
    <s v="Club World Cup"/>
    <s v="FC Barcelona"/>
    <n v="2"/>
    <n v="2"/>
    <n v="1"/>
    <s v="- / - / -"/>
    <s v="180'"/>
    <n v="180"/>
  </r>
  <r>
    <x v="10"/>
    <s v="UEFA Super Cup"/>
    <s v="UEFA Super Cup"/>
    <s v="FC Barcelona"/>
    <n v="1"/>
    <n v="1"/>
    <n v="1"/>
    <s v="- / - / -"/>
    <s v="90'"/>
    <n v="90"/>
  </r>
  <r>
    <x v="10"/>
    <s v="Supercopa"/>
    <s v="Supercopa"/>
    <s v="FC Barcelona"/>
    <n v="2"/>
    <n v="3"/>
    <n v="2"/>
    <s v="- / - / -"/>
    <s v="180'"/>
    <n v="180"/>
  </r>
  <r>
    <x v="11"/>
    <s v="UEFA Champions League"/>
    <s v="Champions League"/>
    <s v="FC Barcelona"/>
    <n v="13"/>
    <n v="12"/>
    <n v="4"/>
    <s v="- / - / -"/>
    <s v="1.048'"/>
    <n v="1048"/>
  </r>
  <r>
    <x v="11"/>
    <s v="LaLiga"/>
    <s v="LaLiga"/>
    <s v="FC Barcelona"/>
    <n v="33"/>
    <n v="31"/>
    <n v="19"/>
    <s v="3 / - / -"/>
    <s v="2.861'"/>
    <n v="2861"/>
  </r>
  <r>
    <x v="11"/>
    <s v="Copa del Rey"/>
    <s v="Copa del Rey"/>
    <s v="FC Barcelona"/>
    <n v="7"/>
    <n v="7"/>
    <n v="2"/>
    <s v="1 / - / -"/>
    <s v="542'"/>
    <n v="542"/>
  </r>
  <r>
    <x v="11"/>
    <s v="Supercopa"/>
    <s v="Supercopa"/>
    <s v="FC Barcelona"/>
    <n v="2"/>
    <n v="3"/>
    <s v="-"/>
    <s v="- / - / -"/>
    <s v="128'"/>
    <n v="128"/>
  </r>
  <r>
    <x v="12"/>
    <s v="LaLiga"/>
    <s v="LaLiga"/>
    <s v="FC Barcelona"/>
    <n v="35"/>
    <n v="34"/>
    <n v="11"/>
    <s v="3 / - / -"/>
    <s v="2.840'"/>
    <n v="2840"/>
  </r>
  <r>
    <x v="12"/>
    <s v="UEFA Champions League"/>
    <s v="Champions League"/>
    <s v="FC Barcelona"/>
    <n v="11"/>
    <n v="8"/>
    <s v="-"/>
    <s v="- / - / -"/>
    <s v="986'"/>
    <n v="986"/>
  </r>
  <r>
    <x v="12"/>
    <s v="Copa del Rey"/>
    <s v="Copa del Rey"/>
    <s v="FC Barcelona"/>
    <n v="3"/>
    <n v="1"/>
    <s v="-"/>
    <s v="1 / - / -"/>
    <s v="209'"/>
    <n v="209"/>
  </r>
  <r>
    <x v="12"/>
    <s v="FIFA Club World Cup"/>
    <s v="Club World Cup"/>
    <s v="FC Barcelona"/>
    <n v="2"/>
    <n v="2"/>
    <s v="-"/>
    <s v="1 / - / -"/>
    <s v="157'"/>
    <n v="157"/>
  </r>
  <r>
    <x v="12"/>
    <s v="UEFA Super Cup"/>
    <s v="UEFA Super Cup"/>
    <s v="FC Barcelona"/>
    <n v="1"/>
    <s v="-"/>
    <n v="1"/>
    <s v="1 / - / -"/>
    <s v="120'"/>
    <n v="120"/>
  </r>
  <r>
    <x v="12"/>
    <s v="Supercopa"/>
    <s v="Supercopa"/>
    <s v="FC Barcelona"/>
    <n v="1"/>
    <n v="2"/>
    <s v="-"/>
    <s v="- / - / -"/>
    <s v="90'"/>
    <n v="90"/>
  </r>
  <r>
    <x v="13"/>
    <s v="UEFA Champions League"/>
    <s v="Champions League"/>
    <s v="FC Barcelona"/>
    <n v="12"/>
    <n v="9"/>
    <n v="5"/>
    <s v="1 / - / -"/>
    <s v="927'"/>
    <n v="927"/>
  </r>
  <r>
    <x v="13"/>
    <s v="Copa del Rey"/>
    <s v="Copa del Rey"/>
    <s v="FC Barcelona"/>
    <n v="8"/>
    <n v="6"/>
    <n v="1"/>
    <s v="1 / - / -"/>
    <s v="450'"/>
    <n v="450"/>
  </r>
  <r>
    <x v="13"/>
    <s v="LaLiga"/>
    <s v="LaLiga"/>
    <s v="FC Barcelona"/>
    <n v="31"/>
    <n v="23"/>
    <n v="13"/>
    <s v="2 / - / -"/>
    <s v="2.513'"/>
    <n v="2513"/>
  </r>
  <r>
    <x v="14"/>
    <s v="LaLiga"/>
    <s v="LaLiga"/>
    <s v="FC Barcelona"/>
    <n v="28"/>
    <n v="10"/>
    <n v="14"/>
    <s v="2 / - / -"/>
    <s v="2.003'"/>
    <n v="2003"/>
  </r>
  <r>
    <x v="14"/>
    <s v="UEFA Champions League"/>
    <s v="Champions League"/>
    <s v="FC Barcelona"/>
    <n v="9"/>
    <n v="6"/>
    <n v="2"/>
    <s v="2 / - / -"/>
    <s v="726'"/>
    <n v="726"/>
  </r>
  <r>
    <x v="14"/>
    <s v="Copa del Rey"/>
    <s v="Copa del Rey"/>
    <s v="FC Barcelona"/>
    <n v="3"/>
    <s v="-"/>
    <s v="-"/>
    <s v="- / - / -"/>
    <s v="225'"/>
    <n v="225"/>
  </r>
  <r>
    <x v="15"/>
    <s v="LaLiga"/>
    <s v="LaLiga"/>
    <s v="FC Barcelona"/>
    <n v="26"/>
    <n v="14"/>
    <n v="2"/>
    <s v="2 / - / -"/>
    <s v="2.001'"/>
    <n v="2001"/>
  </r>
  <r>
    <x v="15"/>
    <s v="Copa del Rey"/>
    <s v="Copa del Rey"/>
    <s v="FC Barcelona"/>
    <n v="2"/>
    <n v="2"/>
    <n v="1"/>
    <s v="1 / - / -"/>
    <s v="166'"/>
    <n v="166"/>
  </r>
  <r>
    <x v="15"/>
    <s v="UEFA Champions League"/>
    <s v="Champions League"/>
    <s v="FC Barcelona"/>
    <n v="5"/>
    <n v="1"/>
    <s v="-"/>
    <s v="1 / - / -"/>
    <s v="385'"/>
    <n v="385"/>
  </r>
  <r>
    <x v="15"/>
    <s v="UEFA Super Cup"/>
    <s v="UEFA Super Cup"/>
    <s v="FC Barcelona"/>
    <n v="1"/>
    <s v="-"/>
    <s v="-"/>
    <s v="- / - / -"/>
    <s v="90'"/>
    <n v="90"/>
  </r>
  <r>
    <x v="15"/>
    <s v="Supercopa"/>
    <s v="Supercopa"/>
    <s v="FC Barcelona"/>
    <n v="2"/>
    <s v="-"/>
    <s v="-"/>
    <s v="- / - / -"/>
    <s v="121'"/>
    <n v="121"/>
  </r>
  <r>
    <x v="16"/>
    <s v="UEFA Champions League"/>
    <s v="Champions League"/>
    <s v="FC Barcelona"/>
    <n v="6"/>
    <n v="1"/>
    <n v="2"/>
    <s v="- / - / -"/>
    <s v="322'"/>
    <n v="322"/>
  </r>
  <r>
    <x v="16"/>
    <s v="LaLiga"/>
    <s v="LaLiga"/>
    <s v="FC Barcelona"/>
    <n v="17"/>
    <n v="6"/>
    <n v="2"/>
    <s v="2 / - / -"/>
    <s v="912'"/>
    <n v="912"/>
  </r>
  <r>
    <x v="16"/>
    <s v="Copa del Rey"/>
    <s v="Copa del Rey"/>
    <s v="FC Barcelona"/>
    <n v="2"/>
    <n v="1"/>
    <n v="1"/>
    <s v="- / - / -"/>
    <s v="180'"/>
    <n v="180"/>
  </r>
  <r>
    <x v="17"/>
    <s v="LaLiga"/>
    <s v="LaLiga"/>
    <s v="FC Barcelona"/>
    <n v="7"/>
    <n v="1"/>
    <s v="-"/>
    <s v="- / - / -"/>
    <s v="75'"/>
    <n v="75"/>
  </r>
  <r>
    <x v="17"/>
    <s v="UEFA Champions League"/>
    <s v="Champions League"/>
    <s v="FC Barcelona"/>
    <n v="1"/>
    <s v="-"/>
    <s v="-"/>
    <s v="- / - / -"/>
    <s v="90'"/>
    <n v="90"/>
  </r>
  <r>
    <x v="17"/>
    <s v="Copa del Rey"/>
    <s v="Copa del Rey"/>
    <s v="FC Barcelona"/>
    <n v="1"/>
    <s v="-"/>
    <s v="-"/>
    <s v="- / - / -"/>
    <s v="73'"/>
    <n v="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0174F-2277-4C5E-9D4F-BE76110D5714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T5" firstHeaderRow="1" firstDataRow="2" firstDataCol="1"/>
  <pivotFields count="10">
    <pivotField axis="axisCol" showAll="0">
      <items count="19"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0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Column10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1890E-82EC-4514-B8B0-8CAA578A48E6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V5" firstHeaderRow="1" firstDataRow="2" firstDataCol="1"/>
  <pivotFields count="10">
    <pivotField axis="axisCol" showAll="0">
      <items count="21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0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Sum of Column10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1D2363-1A45-4723-BAAD-2D81618FC1CE}" name="Table2" displayName="Table2" ref="A1:J73" totalsRowShown="0" headerRowDxfId="0" dataDxfId="1">
  <autoFilter ref="A1:J73" xr:uid="{181D2363-1A45-4723-BAAD-2D81618FC1CE}"/>
  <tableColumns count="10">
    <tableColumn id="1" xr3:uid="{D98F6395-071B-42CB-9E98-3A23F50A9346}" name="Column1" dataDxfId="11"/>
    <tableColumn id="2" xr3:uid="{EAA8D693-EA18-4A58-B084-B40D4E73FEA2}" name="Column2" dataDxfId="10"/>
    <tableColumn id="3" xr3:uid="{AC4B77E2-0748-4CAF-A605-23269CC53D6B}" name="Column3" dataDxfId="9"/>
    <tableColumn id="4" xr3:uid="{A39CC535-3D19-41F2-96B0-17F2E7ADE846}" name="Column4" dataDxfId="8"/>
    <tableColumn id="5" xr3:uid="{C358CE96-282A-4C7D-BC53-FCE0FE5B01AA}" name="Column5" dataDxfId="7"/>
    <tableColumn id="6" xr3:uid="{E3A9A7D0-8CD0-40E5-BB3C-78654B0331B1}" name="Column6" dataDxfId="6"/>
    <tableColumn id="7" xr3:uid="{02AE572C-474B-44B1-ABB9-87DC03AF217C}" name="Column7" dataDxfId="5"/>
    <tableColumn id="8" xr3:uid="{722C440E-C01D-4CF9-B21E-B21C568367D3}" name="Column8" dataDxfId="4"/>
    <tableColumn id="9" xr3:uid="{D2D6BF55-70AD-4E4F-A73D-3246B91EA968}" name="Column9" dataDxfId="3"/>
    <tableColumn id="10" xr3:uid="{D58AE502-BAE0-4F2F-A2A9-F96C9D44BEE1}" name="Column10" dataDxfId="2">
      <calculatedColumnFormula>VALUE(LEFT(I2,LEN(I2)-1))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51A1C2-8E71-4A6E-BFC3-269835455C5D}" name="Table1" displayName="Table1" ref="A1:J81" totalsRowShown="0" headerRowDxfId="23" dataDxfId="22">
  <autoFilter ref="A1:J81" xr:uid="{8651A1C2-8E71-4A6E-BFC3-269835455C5D}"/>
  <tableColumns count="10">
    <tableColumn id="1" xr3:uid="{90D14274-D691-4FE4-9257-90214E8B245C}" name="Column1" dataDxfId="21"/>
    <tableColumn id="2" xr3:uid="{AC65CC63-38DF-4090-BBE2-6C3A6C002C5D}" name="Column2" dataDxfId="20"/>
    <tableColumn id="3" xr3:uid="{E0DEBB5F-1967-4428-84D9-E88BC1071E0F}" name="Column3" dataDxfId="19"/>
    <tableColumn id="4" xr3:uid="{A0B64CA2-FD22-4439-AAE2-06C7F1FF1F59}" name="Column4" dataDxfId="18"/>
    <tableColumn id="5" xr3:uid="{67C74285-FAFB-49E2-BA91-CC9B0D7D5013}" name="Column5" dataDxfId="17"/>
    <tableColumn id="6" xr3:uid="{D2B2446B-AD0A-4E24-9D5E-A192B82904AA}" name="Column6" dataDxfId="16"/>
    <tableColumn id="7" xr3:uid="{5358A089-7CF8-4556-B455-2F794891AA45}" name="Column7" dataDxfId="15"/>
    <tableColumn id="8" xr3:uid="{A2A357F0-FC92-420C-9A37-782A100D6053}" name="Column8" dataDxfId="14"/>
    <tableColumn id="9" xr3:uid="{8F12574C-0592-4559-84EF-6FF66F5FF719}" name="Column9" dataDxfId="13"/>
    <tableColumn id="10" xr3:uid="{8FF38B7B-4F3D-4081-B983-40A6530BDE2B}" name="Column10" dataDxfId="12">
      <calculatedColumnFormula>VALUE(LEFT(I2,LEN(I2)-1))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zoomScale="85" zoomScaleNormal="85" workbookViewId="0">
      <selection activeCell="B3" sqref="B3:B4"/>
    </sheetView>
  </sheetViews>
  <sheetFormatPr defaultColWidth="10.7109375" defaultRowHeight="15" x14ac:dyDescent="0.25"/>
  <cols>
    <col min="1" max="1" width="18.28515625" style="1" bestFit="1" customWidth="1"/>
    <col min="2" max="2" width="12.140625" style="1" bestFit="1" customWidth="1"/>
    <col min="3" max="18" width="10.7109375" style="1" customWidth="1"/>
    <col min="19" max="16384" width="10.7109375" style="1"/>
  </cols>
  <sheetData>
    <row r="1" spans="1:23" x14ac:dyDescent="0.25">
      <c r="A1" s="1" t="s">
        <v>0</v>
      </c>
      <c r="B1" s="1" t="s">
        <v>1</v>
      </c>
      <c r="C1" s="2">
        <v>37072</v>
      </c>
      <c r="D1" s="2">
        <v>37437</v>
      </c>
      <c r="E1" s="2">
        <v>37802</v>
      </c>
      <c r="F1" s="2">
        <v>38168</v>
      </c>
      <c r="G1" s="2">
        <v>38533</v>
      </c>
      <c r="H1" s="2">
        <v>38898</v>
      </c>
      <c r="I1" s="2">
        <v>39263</v>
      </c>
      <c r="J1" s="2">
        <v>39629</v>
      </c>
      <c r="K1" s="2">
        <v>39994</v>
      </c>
      <c r="L1" s="2">
        <v>40359</v>
      </c>
      <c r="M1" s="2">
        <v>40724</v>
      </c>
      <c r="N1" s="2">
        <v>41090</v>
      </c>
      <c r="O1" s="2">
        <v>41455</v>
      </c>
      <c r="P1" s="2">
        <v>41820</v>
      </c>
      <c r="Q1" s="2">
        <v>42185</v>
      </c>
      <c r="R1" s="2">
        <v>42551</v>
      </c>
      <c r="S1" s="2">
        <v>42916</v>
      </c>
      <c r="T1" s="2">
        <v>43281</v>
      </c>
      <c r="U1" s="2">
        <v>43646</v>
      </c>
      <c r="V1" s="2">
        <v>44012</v>
      </c>
      <c r="W1" s="2">
        <v>44377</v>
      </c>
    </row>
    <row r="2" spans="1:23" x14ac:dyDescent="0.25">
      <c r="A2" s="1" t="s">
        <v>2</v>
      </c>
      <c r="B2" s="2">
        <v>32868</v>
      </c>
      <c r="I2" s="1">
        <v>79</v>
      </c>
      <c r="J2" s="1">
        <v>1420</v>
      </c>
      <c r="K2" s="1">
        <f>173+1827</f>
        <v>2000</v>
      </c>
      <c r="L2" s="1">
        <f>323+90</f>
        <v>413</v>
      </c>
      <c r="M2" s="1">
        <f>31+9+120+344</f>
        <v>504</v>
      </c>
      <c r="N2" s="1">
        <f>2098+511+240+293</f>
        <v>3142</v>
      </c>
      <c r="O2" s="1">
        <f>2102+647+153</f>
        <v>2902</v>
      </c>
      <c r="P2" s="1">
        <f>2067+648+170</f>
        <v>2885</v>
      </c>
      <c r="Q2" s="1">
        <v>1931</v>
      </c>
      <c r="R2" s="1">
        <f>1257+110+94+84+411+180</f>
        <v>2136</v>
      </c>
      <c r="S2" s="1">
        <f>1037+90+159+45+177</f>
        <v>1508</v>
      </c>
      <c r="T2" s="1">
        <f>1972+219</f>
        <v>2191</v>
      </c>
      <c r="U2" s="1">
        <f>120+136+173+567+2108</f>
        <v>3104</v>
      </c>
      <c r="V2" s="1">
        <f>2201+269+342+9</f>
        <v>2821</v>
      </c>
      <c r="W2" s="1">
        <v>1381</v>
      </c>
    </row>
    <row r="3" spans="1:23" x14ac:dyDescent="0.25">
      <c r="A3" s="1" t="s">
        <v>148</v>
      </c>
      <c r="B3" s="2">
        <v>31169</v>
      </c>
      <c r="E3" s="1">
        <v>1391</v>
      </c>
      <c r="F3" s="1">
        <v>2355</v>
      </c>
      <c r="G3" s="1">
        <v>3716</v>
      </c>
      <c r="H3" s="1">
        <v>3413</v>
      </c>
      <c r="I3" s="1">
        <v>4386</v>
      </c>
      <c r="J3" s="1">
        <v>4154</v>
      </c>
      <c r="K3" s="1">
        <v>4319</v>
      </c>
      <c r="L3" s="1">
        <v>2915</v>
      </c>
      <c r="M3" s="1">
        <v>4618</v>
      </c>
      <c r="N3" s="1">
        <v>4902</v>
      </c>
      <c r="O3" s="1">
        <v>4631</v>
      </c>
      <c r="P3" s="1">
        <v>4030</v>
      </c>
      <c r="Q3" s="1">
        <v>4640</v>
      </c>
      <c r="R3" s="1">
        <v>4293</v>
      </c>
      <c r="S3" s="1">
        <v>4126</v>
      </c>
      <c r="T3" s="1">
        <v>3678</v>
      </c>
      <c r="U3" s="1">
        <v>3646</v>
      </c>
      <c r="V3" s="1">
        <v>4081</v>
      </c>
      <c r="W3" s="1">
        <v>3751</v>
      </c>
    </row>
    <row r="4" spans="1:23" x14ac:dyDescent="0.25">
      <c r="A4" s="1" t="s">
        <v>200</v>
      </c>
      <c r="B4" s="2">
        <v>31952</v>
      </c>
      <c r="G4" s="1">
        <v>238</v>
      </c>
      <c r="H4" s="1">
        <v>1414</v>
      </c>
      <c r="I4" s="1">
        <v>2763</v>
      </c>
      <c r="J4" s="1">
        <v>2954</v>
      </c>
      <c r="K4" s="1">
        <v>3890</v>
      </c>
      <c r="L4" s="1">
        <v>4402</v>
      </c>
      <c r="M4" s="1">
        <v>4579</v>
      </c>
      <c r="N4" s="1">
        <v>5221</v>
      </c>
      <c r="O4" s="1">
        <v>4070</v>
      </c>
      <c r="P4" s="1">
        <v>3742</v>
      </c>
      <c r="Q4" s="1">
        <v>5060</v>
      </c>
      <c r="R4" s="1">
        <v>4229</v>
      </c>
      <c r="S4" s="1">
        <v>4452</v>
      </c>
      <c r="T4" s="1">
        <v>4468</v>
      </c>
      <c r="U4" s="1">
        <v>4023</v>
      </c>
      <c r="V4" s="1">
        <v>3810</v>
      </c>
      <c r="W4" s="1">
        <v>4192</v>
      </c>
    </row>
    <row r="5" spans="1:23" x14ac:dyDescent="0.25">
      <c r="B5" s="2"/>
    </row>
    <row r="6" spans="1:23" x14ac:dyDescent="0.25">
      <c r="B6" s="2"/>
    </row>
    <row r="7" spans="1:23" x14ac:dyDescent="0.25">
      <c r="B7" s="2"/>
    </row>
    <row r="8" spans="1:23" x14ac:dyDescent="0.25">
      <c r="B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E6FE-3AA8-4324-8F39-73D97B77D24A}">
  <dimension ref="A1:J73"/>
  <sheetViews>
    <sheetView topLeftCell="A2" workbookViewId="0">
      <selection activeCell="H19" sqref="A2:J73"/>
    </sheetView>
  </sheetViews>
  <sheetFormatPr defaultRowHeight="15" x14ac:dyDescent="0.25"/>
  <cols>
    <col min="1" max="1" width="5.85546875" style="4" bestFit="1" customWidth="1"/>
    <col min="2" max="2" width="23" bestFit="1" customWidth="1"/>
    <col min="3" max="3" width="17.85546875" bestFit="1" customWidth="1"/>
    <col min="4" max="4" width="18.7109375" bestFit="1" customWidth="1"/>
    <col min="5" max="7" width="3" bestFit="1" customWidth="1"/>
    <col min="8" max="8" width="6.85546875" bestFit="1" customWidth="1"/>
    <col min="9" max="9" width="6" bestFit="1" customWidth="1"/>
    <col min="10" max="10" width="5" bestFit="1" customWidth="1"/>
  </cols>
  <sheetData>
    <row r="1" spans="1:10" x14ac:dyDescent="0.25">
      <c r="A1" s="5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</row>
    <row r="2" spans="1:10" x14ac:dyDescent="0.25">
      <c r="A2" s="5" t="s">
        <v>3</v>
      </c>
      <c r="B2" s="1" t="s">
        <v>91</v>
      </c>
      <c r="C2" s="1" t="s">
        <v>92</v>
      </c>
      <c r="D2" s="1" t="s">
        <v>149</v>
      </c>
      <c r="E2" s="1">
        <v>1</v>
      </c>
      <c r="F2" s="1" t="s">
        <v>4</v>
      </c>
      <c r="G2" s="1" t="s">
        <v>4</v>
      </c>
      <c r="H2" s="1" t="s">
        <v>98</v>
      </c>
      <c r="I2" s="1" t="s">
        <v>6</v>
      </c>
      <c r="J2" s="1">
        <f>VALUE(LEFT(I2,LEN(I2)-1))</f>
        <v>90</v>
      </c>
    </row>
    <row r="3" spans="1:10" x14ac:dyDescent="0.25">
      <c r="A3" s="5" t="s">
        <v>3</v>
      </c>
      <c r="B3" s="1" t="s">
        <v>150</v>
      </c>
      <c r="C3" s="1" t="s">
        <v>150</v>
      </c>
      <c r="D3" s="1" t="s">
        <v>149</v>
      </c>
      <c r="E3" s="1">
        <v>1</v>
      </c>
      <c r="F3" s="1" t="s">
        <v>4</v>
      </c>
      <c r="G3" s="1" t="s">
        <v>4</v>
      </c>
      <c r="H3" s="1" t="s">
        <v>94</v>
      </c>
      <c r="I3" s="1" t="s">
        <v>24</v>
      </c>
      <c r="J3" s="1">
        <f t="shared" ref="J3:J66" si="0">VALUE(LEFT(I3,LEN(I3)-1))</f>
        <v>24</v>
      </c>
    </row>
    <row r="4" spans="1:10" x14ac:dyDescent="0.25">
      <c r="A4" s="5" t="s">
        <v>8</v>
      </c>
      <c r="B4" s="1" t="s">
        <v>105</v>
      </c>
      <c r="C4" s="1" t="s">
        <v>105</v>
      </c>
      <c r="D4" s="1" t="s">
        <v>151</v>
      </c>
      <c r="E4" s="1">
        <v>35</v>
      </c>
      <c r="F4" s="1">
        <v>30</v>
      </c>
      <c r="G4" s="1">
        <v>11</v>
      </c>
      <c r="H4" s="1" t="s">
        <v>111</v>
      </c>
      <c r="I4" s="1" t="s">
        <v>152</v>
      </c>
      <c r="J4" s="1">
        <f t="shared" si="0"/>
        <v>3022</v>
      </c>
    </row>
    <row r="5" spans="1:10" x14ac:dyDescent="0.25">
      <c r="A5" s="5" t="s">
        <v>8</v>
      </c>
      <c r="B5" s="1" t="s">
        <v>112</v>
      </c>
      <c r="C5" s="1" t="s">
        <v>112</v>
      </c>
      <c r="D5" s="1" t="s">
        <v>151</v>
      </c>
      <c r="E5" s="1">
        <v>5</v>
      </c>
      <c r="F5" s="1">
        <v>3</v>
      </c>
      <c r="G5" s="1">
        <v>1</v>
      </c>
      <c r="H5" s="1" t="s">
        <v>104</v>
      </c>
      <c r="I5" s="1" t="s">
        <v>153</v>
      </c>
      <c r="J5" s="1">
        <f t="shared" si="0"/>
        <v>510</v>
      </c>
    </row>
    <row r="6" spans="1:10" x14ac:dyDescent="0.25">
      <c r="A6" s="5" t="s">
        <v>8</v>
      </c>
      <c r="B6" s="1" t="s">
        <v>91</v>
      </c>
      <c r="C6" s="1" t="s">
        <v>92</v>
      </c>
      <c r="D6" s="1" t="s">
        <v>151</v>
      </c>
      <c r="E6" s="1">
        <v>6</v>
      </c>
      <c r="F6" s="1">
        <v>5</v>
      </c>
      <c r="G6" s="1">
        <v>2</v>
      </c>
      <c r="H6" s="1" t="s">
        <v>94</v>
      </c>
      <c r="I6" s="1" t="s">
        <v>154</v>
      </c>
      <c r="J6" s="1">
        <f t="shared" si="0"/>
        <v>540</v>
      </c>
    </row>
    <row r="7" spans="1:10" x14ac:dyDescent="0.25">
      <c r="A7" s="5" t="s">
        <v>8</v>
      </c>
      <c r="B7" s="1" t="s">
        <v>108</v>
      </c>
      <c r="C7" s="1" t="s">
        <v>108</v>
      </c>
      <c r="D7" s="1" t="s">
        <v>151</v>
      </c>
      <c r="E7" s="1">
        <v>1</v>
      </c>
      <c r="F7" s="1" t="s">
        <v>4</v>
      </c>
      <c r="G7" s="1" t="s">
        <v>4</v>
      </c>
      <c r="H7" s="1" t="s">
        <v>155</v>
      </c>
      <c r="I7" s="1" t="s">
        <v>60</v>
      </c>
      <c r="J7" s="1">
        <f t="shared" si="0"/>
        <v>120</v>
      </c>
    </row>
    <row r="8" spans="1:10" x14ac:dyDescent="0.25">
      <c r="A8" s="5" t="s">
        <v>12</v>
      </c>
      <c r="B8" s="1" t="s">
        <v>91</v>
      </c>
      <c r="C8" s="1" t="s">
        <v>92</v>
      </c>
      <c r="D8" s="1" t="s">
        <v>151</v>
      </c>
      <c r="E8" s="1">
        <v>8</v>
      </c>
      <c r="F8" s="1">
        <v>3</v>
      </c>
      <c r="G8" s="1">
        <v>4</v>
      </c>
      <c r="H8" s="1" t="s">
        <v>104</v>
      </c>
      <c r="I8" s="1" t="s">
        <v>156</v>
      </c>
      <c r="J8" s="1">
        <f t="shared" si="0"/>
        <v>661</v>
      </c>
    </row>
    <row r="9" spans="1:10" x14ac:dyDescent="0.25">
      <c r="A9" s="5" t="s">
        <v>12</v>
      </c>
      <c r="B9" s="1" t="s">
        <v>105</v>
      </c>
      <c r="C9" s="1" t="s">
        <v>105</v>
      </c>
      <c r="D9" s="1" t="s">
        <v>151</v>
      </c>
      <c r="E9" s="1">
        <v>33</v>
      </c>
      <c r="F9" s="1">
        <v>25</v>
      </c>
      <c r="G9" s="1">
        <v>22</v>
      </c>
      <c r="H9" s="1" t="s">
        <v>111</v>
      </c>
      <c r="I9" s="1" t="s">
        <v>157</v>
      </c>
      <c r="J9" s="1">
        <f t="shared" si="0"/>
        <v>2879</v>
      </c>
    </row>
    <row r="10" spans="1:10" x14ac:dyDescent="0.25">
      <c r="A10" s="5" t="s">
        <v>12</v>
      </c>
      <c r="B10" s="1" t="s">
        <v>112</v>
      </c>
      <c r="C10" s="1" t="s">
        <v>112</v>
      </c>
      <c r="D10" s="1" t="s">
        <v>151</v>
      </c>
      <c r="E10" s="1">
        <v>2</v>
      </c>
      <c r="F10" s="1">
        <v>2</v>
      </c>
      <c r="G10" s="1">
        <v>1</v>
      </c>
      <c r="H10" s="1" t="s">
        <v>98</v>
      </c>
      <c r="I10" s="1" t="s">
        <v>23</v>
      </c>
      <c r="J10" s="1">
        <f t="shared" si="0"/>
        <v>180</v>
      </c>
    </row>
    <row r="11" spans="1:10" x14ac:dyDescent="0.25">
      <c r="A11" s="5" t="s">
        <v>12</v>
      </c>
      <c r="B11" s="1" t="s">
        <v>108</v>
      </c>
      <c r="C11" s="1" t="s">
        <v>108</v>
      </c>
      <c r="D11" s="1" t="s">
        <v>151</v>
      </c>
      <c r="E11" s="1">
        <v>1</v>
      </c>
      <c r="F11" s="1">
        <v>1</v>
      </c>
      <c r="G11" s="1" t="s">
        <v>4</v>
      </c>
      <c r="H11" s="1" t="s">
        <v>94</v>
      </c>
      <c r="I11" s="1" t="s">
        <v>6</v>
      </c>
      <c r="J11" s="1">
        <f t="shared" si="0"/>
        <v>90</v>
      </c>
    </row>
    <row r="12" spans="1:10" x14ac:dyDescent="0.25">
      <c r="A12" s="5" t="s">
        <v>16</v>
      </c>
      <c r="B12" s="1" t="s">
        <v>112</v>
      </c>
      <c r="C12" s="1" t="s">
        <v>112</v>
      </c>
      <c r="D12" s="1" t="s">
        <v>151</v>
      </c>
      <c r="E12" s="1">
        <v>5</v>
      </c>
      <c r="F12" s="1">
        <v>3</v>
      </c>
      <c r="G12" s="1">
        <v>3</v>
      </c>
      <c r="H12" s="1" t="s">
        <v>94</v>
      </c>
      <c r="I12" s="1" t="s">
        <v>158</v>
      </c>
      <c r="J12" s="1">
        <f t="shared" si="0"/>
        <v>387</v>
      </c>
    </row>
    <row r="13" spans="1:10" x14ac:dyDescent="0.25">
      <c r="A13" s="5" t="s">
        <v>16</v>
      </c>
      <c r="B13" s="1" t="s">
        <v>105</v>
      </c>
      <c r="C13" s="1" t="s">
        <v>105</v>
      </c>
      <c r="D13" s="1" t="s">
        <v>151</v>
      </c>
      <c r="E13" s="1">
        <v>34</v>
      </c>
      <c r="F13" s="1">
        <v>36</v>
      </c>
      <c r="G13" s="1">
        <v>14</v>
      </c>
      <c r="H13" s="1" t="s">
        <v>99</v>
      </c>
      <c r="I13" s="1" t="s">
        <v>159</v>
      </c>
      <c r="J13" s="1">
        <f t="shared" si="0"/>
        <v>2709</v>
      </c>
    </row>
    <row r="14" spans="1:10" x14ac:dyDescent="0.25">
      <c r="A14" s="5" t="s">
        <v>16</v>
      </c>
      <c r="B14" s="1" t="s">
        <v>91</v>
      </c>
      <c r="C14" s="1" t="s">
        <v>92</v>
      </c>
      <c r="D14" s="1" t="s">
        <v>151</v>
      </c>
      <c r="E14" s="1">
        <v>10</v>
      </c>
      <c r="F14" s="1">
        <v>12</v>
      </c>
      <c r="G14" s="1">
        <v>3</v>
      </c>
      <c r="H14" s="1" t="s">
        <v>94</v>
      </c>
      <c r="I14" s="1" t="s">
        <v>160</v>
      </c>
      <c r="J14" s="1">
        <f t="shared" si="0"/>
        <v>837</v>
      </c>
    </row>
    <row r="15" spans="1:10" x14ac:dyDescent="0.25">
      <c r="A15" s="5" t="s">
        <v>16</v>
      </c>
      <c r="B15" s="1" t="s">
        <v>108</v>
      </c>
      <c r="C15" s="1" t="s">
        <v>108</v>
      </c>
      <c r="D15" s="1" t="s">
        <v>151</v>
      </c>
      <c r="E15" s="1">
        <v>1</v>
      </c>
      <c r="F15" s="1" t="s">
        <v>4</v>
      </c>
      <c r="G15" s="1">
        <v>2</v>
      </c>
      <c r="H15" s="1" t="s">
        <v>94</v>
      </c>
      <c r="I15" s="1" t="s">
        <v>6</v>
      </c>
      <c r="J15" s="1">
        <f t="shared" si="0"/>
        <v>90</v>
      </c>
    </row>
    <row r="16" spans="1:10" x14ac:dyDescent="0.25">
      <c r="A16" s="5" t="s">
        <v>20</v>
      </c>
      <c r="B16" s="1" t="s">
        <v>105</v>
      </c>
      <c r="C16" s="1" t="s">
        <v>105</v>
      </c>
      <c r="D16" s="1" t="s">
        <v>151</v>
      </c>
      <c r="E16" s="1">
        <v>36</v>
      </c>
      <c r="F16" s="1">
        <v>34</v>
      </c>
      <c r="G16" s="1">
        <v>14</v>
      </c>
      <c r="H16" s="1" t="s">
        <v>99</v>
      </c>
      <c r="I16" s="1" t="s">
        <v>161</v>
      </c>
      <c r="J16" s="1">
        <f t="shared" si="0"/>
        <v>2996</v>
      </c>
    </row>
    <row r="17" spans="1:10" x14ac:dyDescent="0.25">
      <c r="A17" s="5" t="s">
        <v>20</v>
      </c>
      <c r="B17" s="1" t="s">
        <v>112</v>
      </c>
      <c r="C17" s="1" t="s">
        <v>112</v>
      </c>
      <c r="D17" s="1" t="s">
        <v>151</v>
      </c>
      <c r="E17" s="1">
        <v>6</v>
      </c>
      <c r="F17" s="1">
        <v>4</v>
      </c>
      <c r="G17" s="1">
        <v>4</v>
      </c>
      <c r="H17" s="1" t="s">
        <v>98</v>
      </c>
      <c r="I17" s="1" t="s">
        <v>162</v>
      </c>
      <c r="J17" s="1">
        <f t="shared" si="0"/>
        <v>509</v>
      </c>
    </row>
    <row r="18" spans="1:10" x14ac:dyDescent="0.25">
      <c r="A18" s="5" t="s">
        <v>20</v>
      </c>
      <c r="B18" s="1" t="s">
        <v>91</v>
      </c>
      <c r="C18" s="1" t="s">
        <v>92</v>
      </c>
      <c r="D18" s="1" t="s">
        <v>151</v>
      </c>
      <c r="E18" s="1">
        <v>10</v>
      </c>
      <c r="F18" s="1">
        <v>6</v>
      </c>
      <c r="G18" s="1">
        <v>2</v>
      </c>
      <c r="H18" s="1" t="s">
        <v>104</v>
      </c>
      <c r="I18" s="1" t="s">
        <v>163</v>
      </c>
      <c r="J18" s="1">
        <f t="shared" si="0"/>
        <v>783</v>
      </c>
    </row>
    <row r="19" spans="1:10" x14ac:dyDescent="0.25">
      <c r="A19" s="5" t="s">
        <v>20</v>
      </c>
      <c r="B19" s="1" t="s">
        <v>108</v>
      </c>
      <c r="C19" s="1" t="s">
        <v>108</v>
      </c>
      <c r="D19" s="1" t="s">
        <v>151</v>
      </c>
      <c r="E19" s="1">
        <v>2</v>
      </c>
      <c r="F19" s="1">
        <v>1</v>
      </c>
      <c r="G19" s="1" t="s">
        <v>4</v>
      </c>
      <c r="H19" s="1" t="s">
        <v>98</v>
      </c>
      <c r="I19" s="1" t="s">
        <v>23</v>
      </c>
      <c r="J19" s="1">
        <f t="shared" si="0"/>
        <v>180</v>
      </c>
    </row>
    <row r="20" spans="1:10" x14ac:dyDescent="0.25">
      <c r="A20" s="5" t="s">
        <v>26</v>
      </c>
      <c r="B20" s="1" t="s">
        <v>112</v>
      </c>
      <c r="C20" s="1" t="s">
        <v>112</v>
      </c>
      <c r="D20" s="1" t="s">
        <v>151</v>
      </c>
      <c r="E20" s="1">
        <v>7</v>
      </c>
      <c r="F20" s="1">
        <v>5</v>
      </c>
      <c r="G20" s="1">
        <v>4</v>
      </c>
      <c r="H20" s="1" t="s">
        <v>99</v>
      </c>
      <c r="I20" s="1" t="s">
        <v>164</v>
      </c>
      <c r="J20" s="1">
        <f t="shared" si="0"/>
        <v>630</v>
      </c>
    </row>
    <row r="21" spans="1:10" x14ac:dyDescent="0.25">
      <c r="A21" s="5" t="s">
        <v>26</v>
      </c>
      <c r="B21" s="1" t="s">
        <v>105</v>
      </c>
      <c r="C21" s="1" t="s">
        <v>105</v>
      </c>
      <c r="D21" s="1" t="s">
        <v>151</v>
      </c>
      <c r="E21" s="1">
        <v>34</v>
      </c>
      <c r="F21" s="1">
        <v>37</v>
      </c>
      <c r="G21" s="1">
        <v>12</v>
      </c>
      <c r="H21" s="1" t="s">
        <v>165</v>
      </c>
      <c r="I21" s="1" t="s">
        <v>166</v>
      </c>
      <c r="J21" s="1">
        <f t="shared" si="0"/>
        <v>2832</v>
      </c>
    </row>
    <row r="22" spans="1:10" x14ac:dyDescent="0.25">
      <c r="A22" s="5" t="s">
        <v>26</v>
      </c>
      <c r="B22" s="1" t="s">
        <v>91</v>
      </c>
      <c r="C22" s="1" t="s">
        <v>92</v>
      </c>
      <c r="D22" s="1" t="s">
        <v>151</v>
      </c>
      <c r="E22" s="1">
        <v>9</v>
      </c>
      <c r="F22" s="1">
        <v>11</v>
      </c>
      <c r="G22" s="1">
        <v>2</v>
      </c>
      <c r="H22" s="1" t="s">
        <v>94</v>
      </c>
      <c r="I22" s="1" t="s">
        <v>167</v>
      </c>
      <c r="J22" s="1">
        <f t="shared" si="0"/>
        <v>810</v>
      </c>
    </row>
    <row r="23" spans="1:10" x14ac:dyDescent="0.25">
      <c r="A23" s="5" t="s">
        <v>26</v>
      </c>
      <c r="B23" s="1" t="s">
        <v>108</v>
      </c>
      <c r="C23" s="1" t="s">
        <v>108</v>
      </c>
      <c r="D23" s="1" t="s">
        <v>151</v>
      </c>
      <c r="E23" s="1">
        <v>2</v>
      </c>
      <c r="F23" s="1">
        <v>1</v>
      </c>
      <c r="G23" s="1">
        <v>2</v>
      </c>
      <c r="H23" s="1" t="s">
        <v>94</v>
      </c>
      <c r="I23" s="1" t="s">
        <v>23</v>
      </c>
      <c r="J23" s="1">
        <f t="shared" si="0"/>
        <v>180</v>
      </c>
    </row>
    <row r="24" spans="1:10" x14ac:dyDescent="0.25">
      <c r="A24" s="5" t="s">
        <v>30</v>
      </c>
      <c r="B24" s="1" t="s">
        <v>112</v>
      </c>
      <c r="C24" s="1" t="s">
        <v>112</v>
      </c>
      <c r="D24" s="1" t="s">
        <v>151</v>
      </c>
      <c r="E24" s="1">
        <v>5</v>
      </c>
      <c r="F24" s="1">
        <v>5</v>
      </c>
      <c r="G24" s="1">
        <v>6</v>
      </c>
      <c r="H24" s="1" t="s">
        <v>98</v>
      </c>
      <c r="I24" s="1" t="s">
        <v>168</v>
      </c>
      <c r="J24" s="1">
        <f t="shared" si="0"/>
        <v>480</v>
      </c>
    </row>
    <row r="25" spans="1:10" x14ac:dyDescent="0.25">
      <c r="A25" s="5" t="s">
        <v>30</v>
      </c>
      <c r="B25" s="1" t="s">
        <v>105</v>
      </c>
      <c r="C25" s="1" t="s">
        <v>105</v>
      </c>
      <c r="D25" s="1" t="s">
        <v>151</v>
      </c>
      <c r="E25" s="1">
        <v>33</v>
      </c>
      <c r="F25" s="1">
        <v>26</v>
      </c>
      <c r="G25" s="1">
        <v>16</v>
      </c>
      <c r="H25" s="1" t="s">
        <v>99</v>
      </c>
      <c r="I25" s="1" t="s">
        <v>169</v>
      </c>
      <c r="J25" s="1">
        <f t="shared" si="0"/>
        <v>2729</v>
      </c>
    </row>
    <row r="26" spans="1:10" x14ac:dyDescent="0.25">
      <c r="A26" s="5" t="s">
        <v>30</v>
      </c>
      <c r="B26" s="1" t="s">
        <v>91</v>
      </c>
      <c r="C26" s="1" t="s">
        <v>92</v>
      </c>
      <c r="D26" s="1" t="s">
        <v>151</v>
      </c>
      <c r="E26" s="1">
        <v>7</v>
      </c>
      <c r="F26" s="1">
        <v>6</v>
      </c>
      <c r="G26" s="1">
        <v>1</v>
      </c>
      <c r="H26" s="1" t="s">
        <v>98</v>
      </c>
      <c r="I26" s="1" t="s">
        <v>164</v>
      </c>
      <c r="J26" s="1">
        <f t="shared" si="0"/>
        <v>630</v>
      </c>
    </row>
    <row r="27" spans="1:10" x14ac:dyDescent="0.25">
      <c r="A27" s="5" t="s">
        <v>30</v>
      </c>
      <c r="B27" s="1" t="s">
        <v>106</v>
      </c>
      <c r="C27" s="1" t="s">
        <v>107</v>
      </c>
      <c r="D27" s="1" t="s">
        <v>151</v>
      </c>
      <c r="E27" s="1">
        <v>1</v>
      </c>
      <c r="F27" s="1">
        <v>1</v>
      </c>
      <c r="G27" s="1" t="s">
        <v>4</v>
      </c>
      <c r="H27" s="1" t="s">
        <v>94</v>
      </c>
      <c r="I27" s="1" t="s">
        <v>6</v>
      </c>
      <c r="J27" s="1">
        <f t="shared" si="0"/>
        <v>90</v>
      </c>
    </row>
    <row r="28" spans="1:10" x14ac:dyDescent="0.25">
      <c r="A28" s="5" t="s">
        <v>30</v>
      </c>
      <c r="B28" s="1" t="s">
        <v>108</v>
      </c>
      <c r="C28" s="1" t="s">
        <v>108</v>
      </c>
      <c r="D28" s="1" t="s">
        <v>151</v>
      </c>
      <c r="E28" s="1">
        <v>2</v>
      </c>
      <c r="F28" s="1">
        <v>1</v>
      </c>
      <c r="G28" s="1" t="s">
        <v>4</v>
      </c>
      <c r="H28" s="1" t="s">
        <v>94</v>
      </c>
      <c r="I28" s="1" t="s">
        <v>23</v>
      </c>
      <c r="J28" s="1">
        <f t="shared" si="0"/>
        <v>180</v>
      </c>
    </row>
    <row r="29" spans="1:10" x14ac:dyDescent="0.25">
      <c r="A29" s="5" t="s">
        <v>30</v>
      </c>
      <c r="B29" s="1" t="s">
        <v>110</v>
      </c>
      <c r="C29" s="1" t="s">
        <v>110</v>
      </c>
      <c r="D29" s="1" t="s">
        <v>151</v>
      </c>
      <c r="E29" s="1">
        <v>1</v>
      </c>
      <c r="F29" s="1">
        <v>2</v>
      </c>
      <c r="G29" s="1">
        <v>1</v>
      </c>
      <c r="H29" s="1" t="s">
        <v>94</v>
      </c>
      <c r="I29" s="1" t="s">
        <v>60</v>
      </c>
      <c r="J29" s="1">
        <f t="shared" si="0"/>
        <v>120</v>
      </c>
    </row>
    <row r="30" spans="1:10" x14ac:dyDescent="0.25">
      <c r="A30" s="5" t="s">
        <v>33</v>
      </c>
      <c r="B30" s="1" t="s">
        <v>91</v>
      </c>
      <c r="C30" s="1" t="s">
        <v>92</v>
      </c>
      <c r="D30" s="1" t="s">
        <v>151</v>
      </c>
      <c r="E30" s="1">
        <v>13</v>
      </c>
      <c r="F30" s="1">
        <v>10</v>
      </c>
      <c r="G30" s="1">
        <v>6</v>
      </c>
      <c r="H30" s="1" t="s">
        <v>98</v>
      </c>
      <c r="I30" s="1" t="s">
        <v>170</v>
      </c>
      <c r="J30" s="1">
        <f t="shared" si="0"/>
        <v>1146</v>
      </c>
    </row>
    <row r="31" spans="1:10" x14ac:dyDescent="0.25">
      <c r="A31" s="5" t="s">
        <v>33</v>
      </c>
      <c r="B31" s="1" t="s">
        <v>112</v>
      </c>
      <c r="C31" s="1" t="s">
        <v>112</v>
      </c>
      <c r="D31" s="1" t="s">
        <v>151</v>
      </c>
      <c r="E31" s="1">
        <v>6</v>
      </c>
      <c r="F31" s="1">
        <v>5</v>
      </c>
      <c r="G31" s="1">
        <v>4</v>
      </c>
      <c r="H31" s="1" t="s">
        <v>98</v>
      </c>
      <c r="I31" s="1" t="s">
        <v>154</v>
      </c>
      <c r="J31" s="1">
        <f t="shared" si="0"/>
        <v>540</v>
      </c>
    </row>
    <row r="32" spans="1:10" x14ac:dyDescent="0.25">
      <c r="A32" s="5" t="s">
        <v>33</v>
      </c>
      <c r="B32" s="1" t="s">
        <v>105</v>
      </c>
      <c r="C32" s="1" t="s">
        <v>105</v>
      </c>
      <c r="D32" s="1" t="s">
        <v>151</v>
      </c>
      <c r="E32" s="1">
        <v>38</v>
      </c>
      <c r="F32" s="1">
        <v>43</v>
      </c>
      <c r="G32" s="1">
        <v>21</v>
      </c>
      <c r="H32" s="1" t="s">
        <v>111</v>
      </c>
      <c r="I32" s="1" t="s">
        <v>171</v>
      </c>
      <c r="J32" s="1">
        <f t="shared" si="0"/>
        <v>3374</v>
      </c>
    </row>
    <row r="33" spans="1:10" x14ac:dyDescent="0.25">
      <c r="A33" s="5" t="s">
        <v>38</v>
      </c>
      <c r="B33" s="1" t="s">
        <v>105</v>
      </c>
      <c r="C33" s="1" t="s">
        <v>105</v>
      </c>
      <c r="D33" s="1" t="s">
        <v>151</v>
      </c>
      <c r="E33" s="1">
        <v>31</v>
      </c>
      <c r="F33" s="1">
        <v>28</v>
      </c>
      <c r="G33" s="1">
        <v>11</v>
      </c>
      <c r="H33" s="1" t="s">
        <v>104</v>
      </c>
      <c r="I33" s="1" t="s">
        <v>172</v>
      </c>
      <c r="J33" s="1">
        <f t="shared" si="0"/>
        <v>2501</v>
      </c>
    </row>
    <row r="34" spans="1:10" x14ac:dyDescent="0.25">
      <c r="A34" s="5" t="s">
        <v>38</v>
      </c>
      <c r="B34" s="1" t="s">
        <v>112</v>
      </c>
      <c r="C34" s="1" t="s">
        <v>112</v>
      </c>
      <c r="D34" s="1" t="s">
        <v>151</v>
      </c>
      <c r="E34" s="1">
        <v>6</v>
      </c>
      <c r="F34" s="1">
        <v>5</v>
      </c>
      <c r="G34" s="1">
        <v>3</v>
      </c>
      <c r="H34" s="1" t="s">
        <v>98</v>
      </c>
      <c r="I34" s="1" t="s">
        <v>173</v>
      </c>
      <c r="J34" s="1">
        <f t="shared" si="0"/>
        <v>476</v>
      </c>
    </row>
    <row r="35" spans="1:10" x14ac:dyDescent="0.25">
      <c r="A35" s="5" t="s">
        <v>38</v>
      </c>
      <c r="B35" s="1" t="s">
        <v>91</v>
      </c>
      <c r="C35" s="1" t="s">
        <v>92</v>
      </c>
      <c r="D35" s="1" t="s">
        <v>151</v>
      </c>
      <c r="E35" s="1">
        <v>7</v>
      </c>
      <c r="F35" s="1">
        <v>8</v>
      </c>
      <c r="G35" s="1" t="s">
        <v>4</v>
      </c>
      <c r="H35" s="1" t="s">
        <v>94</v>
      </c>
      <c r="I35" s="1" t="s">
        <v>164</v>
      </c>
      <c r="J35" s="1">
        <f t="shared" si="0"/>
        <v>630</v>
      </c>
    </row>
    <row r="36" spans="1:10" x14ac:dyDescent="0.25">
      <c r="A36" s="5" t="s">
        <v>38</v>
      </c>
      <c r="B36" s="1" t="s">
        <v>108</v>
      </c>
      <c r="C36" s="1" t="s">
        <v>108</v>
      </c>
      <c r="D36" s="1" t="s">
        <v>151</v>
      </c>
      <c r="E36" s="1">
        <v>2</v>
      </c>
      <c r="F36" s="1" t="s">
        <v>4</v>
      </c>
      <c r="G36" s="1" t="s">
        <v>4</v>
      </c>
      <c r="H36" s="1" t="s">
        <v>94</v>
      </c>
      <c r="I36" s="1" t="s">
        <v>174</v>
      </c>
      <c r="J36" s="1">
        <f t="shared" si="0"/>
        <v>135</v>
      </c>
    </row>
    <row r="37" spans="1:10" x14ac:dyDescent="0.25">
      <c r="A37" s="5" t="s">
        <v>80</v>
      </c>
      <c r="B37" s="1" t="s">
        <v>105</v>
      </c>
      <c r="C37" s="1" t="s">
        <v>105</v>
      </c>
      <c r="D37" s="1" t="s">
        <v>151</v>
      </c>
      <c r="E37" s="1">
        <v>32</v>
      </c>
      <c r="F37" s="1">
        <v>46</v>
      </c>
      <c r="G37" s="1">
        <v>13</v>
      </c>
      <c r="H37" s="1" t="s">
        <v>98</v>
      </c>
      <c r="I37" s="1" t="s">
        <v>175</v>
      </c>
      <c r="J37" s="1">
        <f t="shared" si="0"/>
        <v>2626</v>
      </c>
    </row>
    <row r="38" spans="1:10" x14ac:dyDescent="0.25">
      <c r="A38" s="5" t="s">
        <v>80</v>
      </c>
      <c r="B38" s="1" t="s">
        <v>91</v>
      </c>
      <c r="C38" s="1" t="s">
        <v>92</v>
      </c>
      <c r="D38" s="1" t="s">
        <v>151</v>
      </c>
      <c r="E38" s="1">
        <v>11</v>
      </c>
      <c r="F38" s="1">
        <v>8</v>
      </c>
      <c r="G38" s="1">
        <v>3</v>
      </c>
      <c r="H38" s="1" t="s">
        <v>94</v>
      </c>
      <c r="I38" s="1" t="s">
        <v>176</v>
      </c>
      <c r="J38" s="1">
        <f t="shared" si="0"/>
        <v>821</v>
      </c>
    </row>
    <row r="39" spans="1:10" x14ac:dyDescent="0.25">
      <c r="A39" s="5" t="s">
        <v>80</v>
      </c>
      <c r="B39" s="1" t="s">
        <v>112</v>
      </c>
      <c r="C39" s="1" t="s">
        <v>112</v>
      </c>
      <c r="D39" s="1" t="s">
        <v>151</v>
      </c>
      <c r="E39" s="1">
        <v>5</v>
      </c>
      <c r="F39" s="1">
        <v>4</v>
      </c>
      <c r="G39" s="1">
        <v>1</v>
      </c>
      <c r="H39" s="1" t="s">
        <v>98</v>
      </c>
      <c r="I39" s="1" t="s">
        <v>177</v>
      </c>
      <c r="J39" s="1">
        <f t="shared" si="0"/>
        <v>443</v>
      </c>
    </row>
    <row r="40" spans="1:10" x14ac:dyDescent="0.25">
      <c r="A40" s="5" t="s">
        <v>80</v>
      </c>
      <c r="B40" s="1" t="s">
        <v>108</v>
      </c>
      <c r="C40" s="1" t="s">
        <v>108</v>
      </c>
      <c r="D40" s="1" t="s">
        <v>151</v>
      </c>
      <c r="E40" s="1">
        <v>2</v>
      </c>
      <c r="F40" s="1">
        <v>2</v>
      </c>
      <c r="G40" s="1" t="s">
        <v>4</v>
      </c>
      <c r="H40" s="1" t="s">
        <v>94</v>
      </c>
      <c r="I40" s="1" t="s">
        <v>23</v>
      </c>
      <c r="J40" s="1">
        <f t="shared" si="0"/>
        <v>180</v>
      </c>
    </row>
    <row r="41" spans="1:10" x14ac:dyDescent="0.25">
      <c r="A41" s="5" t="s">
        <v>81</v>
      </c>
      <c r="B41" s="1" t="s">
        <v>112</v>
      </c>
      <c r="C41" s="1" t="s">
        <v>112</v>
      </c>
      <c r="D41" s="1" t="s">
        <v>151</v>
      </c>
      <c r="E41" s="1">
        <v>7</v>
      </c>
      <c r="F41" s="1">
        <v>3</v>
      </c>
      <c r="G41" s="1">
        <v>4</v>
      </c>
      <c r="H41" s="1" t="s">
        <v>98</v>
      </c>
      <c r="I41" s="1" t="s">
        <v>178</v>
      </c>
      <c r="J41" s="1">
        <f t="shared" si="0"/>
        <v>512</v>
      </c>
    </row>
    <row r="42" spans="1:10" x14ac:dyDescent="0.25">
      <c r="A42" s="5" t="s">
        <v>81</v>
      </c>
      <c r="B42" s="1" t="s">
        <v>105</v>
      </c>
      <c r="C42" s="1" t="s">
        <v>105</v>
      </c>
      <c r="D42" s="1" t="s">
        <v>151</v>
      </c>
      <c r="E42" s="1">
        <v>37</v>
      </c>
      <c r="F42" s="1">
        <v>50</v>
      </c>
      <c r="G42" s="1">
        <v>19</v>
      </c>
      <c r="H42" s="1" t="s">
        <v>165</v>
      </c>
      <c r="I42" s="1" t="s">
        <v>179</v>
      </c>
      <c r="J42" s="1">
        <f t="shared" si="0"/>
        <v>3269</v>
      </c>
    </row>
    <row r="43" spans="1:10" x14ac:dyDescent="0.25">
      <c r="A43" s="5" t="s">
        <v>81</v>
      </c>
      <c r="B43" s="1" t="s">
        <v>91</v>
      </c>
      <c r="C43" s="1" t="s">
        <v>92</v>
      </c>
      <c r="D43" s="1" t="s">
        <v>151</v>
      </c>
      <c r="E43" s="1">
        <v>11</v>
      </c>
      <c r="F43" s="1">
        <v>14</v>
      </c>
      <c r="G43" s="1">
        <v>5</v>
      </c>
      <c r="H43" s="1" t="s">
        <v>104</v>
      </c>
      <c r="I43" s="1" t="s">
        <v>180</v>
      </c>
      <c r="J43" s="1">
        <f t="shared" si="0"/>
        <v>990</v>
      </c>
    </row>
    <row r="44" spans="1:10" x14ac:dyDescent="0.25">
      <c r="A44" s="5" t="s">
        <v>81</v>
      </c>
      <c r="B44" s="1" t="s">
        <v>106</v>
      </c>
      <c r="C44" s="1" t="s">
        <v>107</v>
      </c>
      <c r="D44" s="1" t="s">
        <v>151</v>
      </c>
      <c r="E44" s="1">
        <v>2</v>
      </c>
      <c r="F44" s="1">
        <v>2</v>
      </c>
      <c r="G44" s="1">
        <v>1</v>
      </c>
      <c r="H44" s="1" t="s">
        <v>94</v>
      </c>
      <c r="I44" s="1" t="s">
        <v>23</v>
      </c>
      <c r="J44" s="1">
        <f t="shared" si="0"/>
        <v>180</v>
      </c>
    </row>
    <row r="45" spans="1:10" x14ac:dyDescent="0.25">
      <c r="A45" s="5" t="s">
        <v>81</v>
      </c>
      <c r="B45" s="1" t="s">
        <v>110</v>
      </c>
      <c r="C45" s="1" t="s">
        <v>110</v>
      </c>
      <c r="D45" s="1" t="s">
        <v>151</v>
      </c>
      <c r="E45" s="1">
        <v>1</v>
      </c>
      <c r="F45" s="1">
        <v>1</v>
      </c>
      <c r="G45" s="1">
        <v>1</v>
      </c>
      <c r="H45" s="1" t="s">
        <v>94</v>
      </c>
      <c r="I45" s="1" t="s">
        <v>6</v>
      </c>
      <c r="J45" s="1">
        <f t="shared" si="0"/>
        <v>90</v>
      </c>
    </row>
    <row r="46" spans="1:10" x14ac:dyDescent="0.25">
      <c r="A46" s="5" t="s">
        <v>81</v>
      </c>
      <c r="B46" s="1" t="s">
        <v>108</v>
      </c>
      <c r="C46" s="1" t="s">
        <v>108</v>
      </c>
      <c r="D46" s="1" t="s">
        <v>151</v>
      </c>
      <c r="E46" s="1">
        <v>2</v>
      </c>
      <c r="F46" s="1">
        <v>3</v>
      </c>
      <c r="G46" s="1">
        <v>2</v>
      </c>
      <c r="H46" s="1" t="s">
        <v>94</v>
      </c>
      <c r="I46" s="1" t="s">
        <v>23</v>
      </c>
      <c r="J46" s="1">
        <f t="shared" si="0"/>
        <v>180</v>
      </c>
    </row>
    <row r="47" spans="1:10" x14ac:dyDescent="0.25">
      <c r="A47" s="5" t="s">
        <v>82</v>
      </c>
      <c r="B47" s="1" t="s">
        <v>91</v>
      </c>
      <c r="C47" s="1" t="s">
        <v>92</v>
      </c>
      <c r="D47" s="1" t="s">
        <v>151</v>
      </c>
      <c r="E47" s="1">
        <v>13</v>
      </c>
      <c r="F47" s="1">
        <v>12</v>
      </c>
      <c r="G47" s="1">
        <v>4</v>
      </c>
      <c r="H47" s="1" t="s">
        <v>94</v>
      </c>
      <c r="I47" s="1" t="s">
        <v>181</v>
      </c>
      <c r="J47" s="1">
        <f t="shared" si="0"/>
        <v>1048</v>
      </c>
    </row>
    <row r="48" spans="1:10" x14ac:dyDescent="0.25">
      <c r="A48" s="5" t="s">
        <v>82</v>
      </c>
      <c r="B48" s="1" t="s">
        <v>105</v>
      </c>
      <c r="C48" s="1" t="s">
        <v>105</v>
      </c>
      <c r="D48" s="1" t="s">
        <v>151</v>
      </c>
      <c r="E48" s="1">
        <v>33</v>
      </c>
      <c r="F48" s="1">
        <v>31</v>
      </c>
      <c r="G48" s="1">
        <v>19</v>
      </c>
      <c r="H48" s="1" t="s">
        <v>99</v>
      </c>
      <c r="I48" s="1" t="s">
        <v>182</v>
      </c>
      <c r="J48" s="1">
        <f t="shared" si="0"/>
        <v>2861</v>
      </c>
    </row>
    <row r="49" spans="1:10" x14ac:dyDescent="0.25">
      <c r="A49" s="5" t="s">
        <v>82</v>
      </c>
      <c r="B49" s="1" t="s">
        <v>112</v>
      </c>
      <c r="C49" s="1" t="s">
        <v>112</v>
      </c>
      <c r="D49" s="1" t="s">
        <v>151</v>
      </c>
      <c r="E49" s="1">
        <v>7</v>
      </c>
      <c r="F49" s="1">
        <v>7</v>
      </c>
      <c r="G49" s="1">
        <v>2</v>
      </c>
      <c r="H49" s="1" t="s">
        <v>98</v>
      </c>
      <c r="I49" s="1" t="s">
        <v>183</v>
      </c>
      <c r="J49" s="1">
        <f t="shared" si="0"/>
        <v>542</v>
      </c>
    </row>
    <row r="50" spans="1:10" x14ac:dyDescent="0.25">
      <c r="A50" s="5" t="s">
        <v>82</v>
      </c>
      <c r="B50" s="1" t="s">
        <v>108</v>
      </c>
      <c r="C50" s="1" t="s">
        <v>108</v>
      </c>
      <c r="D50" s="1" t="s">
        <v>151</v>
      </c>
      <c r="E50" s="1">
        <v>2</v>
      </c>
      <c r="F50" s="1">
        <v>3</v>
      </c>
      <c r="G50" s="1" t="s">
        <v>4</v>
      </c>
      <c r="H50" s="1" t="s">
        <v>94</v>
      </c>
      <c r="I50" s="1" t="s">
        <v>184</v>
      </c>
      <c r="J50" s="1">
        <f t="shared" si="0"/>
        <v>128</v>
      </c>
    </row>
    <row r="51" spans="1:10" x14ac:dyDescent="0.25">
      <c r="A51" s="5" t="s">
        <v>83</v>
      </c>
      <c r="B51" s="1" t="s">
        <v>105</v>
      </c>
      <c r="C51" s="1" t="s">
        <v>105</v>
      </c>
      <c r="D51" s="1" t="s">
        <v>151</v>
      </c>
      <c r="E51" s="1">
        <v>35</v>
      </c>
      <c r="F51" s="1">
        <v>34</v>
      </c>
      <c r="G51" s="1">
        <v>11</v>
      </c>
      <c r="H51" s="1" t="s">
        <v>99</v>
      </c>
      <c r="I51" s="1" t="s">
        <v>185</v>
      </c>
      <c r="J51" s="1">
        <f t="shared" si="0"/>
        <v>2840</v>
      </c>
    </row>
    <row r="52" spans="1:10" x14ac:dyDescent="0.25">
      <c r="A52" s="5" t="s">
        <v>83</v>
      </c>
      <c r="B52" s="1" t="s">
        <v>91</v>
      </c>
      <c r="C52" s="1" t="s">
        <v>92</v>
      </c>
      <c r="D52" s="1" t="s">
        <v>151</v>
      </c>
      <c r="E52" s="1">
        <v>11</v>
      </c>
      <c r="F52" s="1">
        <v>8</v>
      </c>
      <c r="G52" s="1" t="s">
        <v>4</v>
      </c>
      <c r="H52" s="1" t="s">
        <v>94</v>
      </c>
      <c r="I52" s="1" t="s">
        <v>186</v>
      </c>
      <c r="J52" s="1">
        <f t="shared" si="0"/>
        <v>986</v>
      </c>
    </row>
    <row r="53" spans="1:10" x14ac:dyDescent="0.25">
      <c r="A53" s="5" t="s">
        <v>83</v>
      </c>
      <c r="B53" s="1" t="s">
        <v>112</v>
      </c>
      <c r="C53" s="1" t="s">
        <v>112</v>
      </c>
      <c r="D53" s="1" t="s">
        <v>151</v>
      </c>
      <c r="E53" s="1">
        <v>3</v>
      </c>
      <c r="F53" s="1">
        <v>1</v>
      </c>
      <c r="G53" s="1" t="s">
        <v>4</v>
      </c>
      <c r="H53" s="1" t="s">
        <v>98</v>
      </c>
      <c r="I53" s="1" t="s">
        <v>187</v>
      </c>
      <c r="J53" s="1">
        <f t="shared" si="0"/>
        <v>209</v>
      </c>
    </row>
    <row r="54" spans="1:10" x14ac:dyDescent="0.25">
      <c r="A54" s="5" t="s">
        <v>83</v>
      </c>
      <c r="B54" s="1" t="s">
        <v>106</v>
      </c>
      <c r="C54" s="1" t="s">
        <v>107</v>
      </c>
      <c r="D54" s="1" t="s">
        <v>151</v>
      </c>
      <c r="E54" s="1">
        <v>2</v>
      </c>
      <c r="F54" s="1">
        <v>2</v>
      </c>
      <c r="G54" s="1" t="s">
        <v>4</v>
      </c>
      <c r="H54" s="1" t="s">
        <v>98</v>
      </c>
      <c r="I54" s="1" t="s">
        <v>68</v>
      </c>
      <c r="J54" s="1">
        <f t="shared" si="0"/>
        <v>157</v>
      </c>
    </row>
    <row r="55" spans="1:10" x14ac:dyDescent="0.25">
      <c r="A55" s="5" t="s">
        <v>83</v>
      </c>
      <c r="B55" s="1" t="s">
        <v>110</v>
      </c>
      <c r="C55" s="1" t="s">
        <v>110</v>
      </c>
      <c r="D55" s="1" t="s">
        <v>151</v>
      </c>
      <c r="E55" s="1">
        <v>1</v>
      </c>
      <c r="F55" s="1" t="s">
        <v>4</v>
      </c>
      <c r="G55" s="1">
        <v>1</v>
      </c>
      <c r="H55" s="1" t="s">
        <v>98</v>
      </c>
      <c r="I55" s="1" t="s">
        <v>60</v>
      </c>
      <c r="J55" s="1">
        <f t="shared" si="0"/>
        <v>120</v>
      </c>
    </row>
    <row r="56" spans="1:10" x14ac:dyDescent="0.25">
      <c r="A56" s="5" t="s">
        <v>83</v>
      </c>
      <c r="B56" s="1" t="s">
        <v>108</v>
      </c>
      <c r="C56" s="1" t="s">
        <v>108</v>
      </c>
      <c r="D56" s="1" t="s">
        <v>151</v>
      </c>
      <c r="E56" s="1">
        <v>1</v>
      </c>
      <c r="F56" s="1">
        <v>2</v>
      </c>
      <c r="G56" s="1" t="s">
        <v>4</v>
      </c>
      <c r="H56" s="1" t="s">
        <v>94</v>
      </c>
      <c r="I56" s="1" t="s">
        <v>6</v>
      </c>
      <c r="J56" s="1">
        <f t="shared" si="0"/>
        <v>90</v>
      </c>
    </row>
    <row r="57" spans="1:10" x14ac:dyDescent="0.25">
      <c r="A57" s="5" t="s">
        <v>84</v>
      </c>
      <c r="B57" s="1" t="s">
        <v>91</v>
      </c>
      <c r="C57" s="1" t="s">
        <v>92</v>
      </c>
      <c r="D57" s="1" t="s">
        <v>151</v>
      </c>
      <c r="E57" s="1">
        <v>12</v>
      </c>
      <c r="F57" s="1">
        <v>9</v>
      </c>
      <c r="G57" s="1">
        <v>5</v>
      </c>
      <c r="H57" s="1" t="s">
        <v>98</v>
      </c>
      <c r="I57" s="1" t="s">
        <v>188</v>
      </c>
      <c r="J57" s="1">
        <f t="shared" si="0"/>
        <v>927</v>
      </c>
    </row>
    <row r="58" spans="1:10" x14ac:dyDescent="0.25">
      <c r="A58" s="5" t="s">
        <v>84</v>
      </c>
      <c r="B58" s="1" t="s">
        <v>112</v>
      </c>
      <c r="C58" s="1" t="s">
        <v>112</v>
      </c>
      <c r="D58" s="1" t="s">
        <v>151</v>
      </c>
      <c r="E58" s="1">
        <v>8</v>
      </c>
      <c r="F58" s="1">
        <v>6</v>
      </c>
      <c r="G58" s="1">
        <v>1</v>
      </c>
      <c r="H58" s="1" t="s">
        <v>98</v>
      </c>
      <c r="I58" s="1" t="s">
        <v>52</v>
      </c>
      <c r="J58" s="1">
        <f t="shared" si="0"/>
        <v>450</v>
      </c>
    </row>
    <row r="59" spans="1:10" x14ac:dyDescent="0.25">
      <c r="A59" s="5" t="s">
        <v>84</v>
      </c>
      <c r="B59" s="1" t="s">
        <v>105</v>
      </c>
      <c r="C59" s="1" t="s">
        <v>105</v>
      </c>
      <c r="D59" s="1" t="s">
        <v>151</v>
      </c>
      <c r="E59" s="1">
        <v>31</v>
      </c>
      <c r="F59" s="1">
        <v>23</v>
      </c>
      <c r="G59" s="1">
        <v>13</v>
      </c>
      <c r="H59" s="1" t="s">
        <v>104</v>
      </c>
      <c r="I59" s="1" t="s">
        <v>189</v>
      </c>
      <c r="J59" s="1">
        <f t="shared" si="0"/>
        <v>2513</v>
      </c>
    </row>
    <row r="60" spans="1:10" x14ac:dyDescent="0.25">
      <c r="A60" s="5" t="s">
        <v>85</v>
      </c>
      <c r="B60" s="1" t="s">
        <v>105</v>
      </c>
      <c r="C60" s="1" t="s">
        <v>105</v>
      </c>
      <c r="D60" s="1" t="s">
        <v>151</v>
      </c>
      <c r="E60" s="1">
        <v>28</v>
      </c>
      <c r="F60" s="1">
        <v>10</v>
      </c>
      <c r="G60" s="1">
        <v>14</v>
      </c>
      <c r="H60" s="1" t="s">
        <v>104</v>
      </c>
      <c r="I60" s="1" t="s">
        <v>190</v>
      </c>
      <c r="J60" s="1">
        <f t="shared" si="0"/>
        <v>2003</v>
      </c>
    </row>
    <row r="61" spans="1:10" x14ac:dyDescent="0.25">
      <c r="A61" s="5" t="s">
        <v>85</v>
      </c>
      <c r="B61" s="1" t="s">
        <v>91</v>
      </c>
      <c r="C61" s="1" t="s">
        <v>92</v>
      </c>
      <c r="D61" s="1" t="s">
        <v>151</v>
      </c>
      <c r="E61" s="1">
        <v>9</v>
      </c>
      <c r="F61" s="1">
        <v>6</v>
      </c>
      <c r="G61" s="1">
        <v>2</v>
      </c>
      <c r="H61" s="1" t="s">
        <v>104</v>
      </c>
      <c r="I61" s="1" t="s">
        <v>191</v>
      </c>
      <c r="J61" s="1">
        <f t="shared" si="0"/>
        <v>726</v>
      </c>
    </row>
    <row r="62" spans="1:10" x14ac:dyDescent="0.25">
      <c r="A62" s="5" t="s">
        <v>85</v>
      </c>
      <c r="B62" s="1" t="s">
        <v>112</v>
      </c>
      <c r="C62" s="1" t="s">
        <v>112</v>
      </c>
      <c r="D62" s="1" t="s">
        <v>151</v>
      </c>
      <c r="E62" s="1">
        <v>3</v>
      </c>
      <c r="F62" s="1" t="s">
        <v>4</v>
      </c>
      <c r="G62" s="1" t="s">
        <v>4</v>
      </c>
      <c r="H62" s="1" t="s">
        <v>94</v>
      </c>
      <c r="I62" s="1" t="s">
        <v>192</v>
      </c>
      <c r="J62" s="1">
        <f t="shared" si="0"/>
        <v>225</v>
      </c>
    </row>
    <row r="63" spans="1:10" x14ac:dyDescent="0.25">
      <c r="A63" s="5" t="s">
        <v>86</v>
      </c>
      <c r="B63" s="1" t="s">
        <v>105</v>
      </c>
      <c r="C63" s="1" t="s">
        <v>105</v>
      </c>
      <c r="D63" s="1" t="s">
        <v>151</v>
      </c>
      <c r="E63" s="1">
        <v>26</v>
      </c>
      <c r="F63" s="1">
        <v>14</v>
      </c>
      <c r="G63" s="1">
        <v>2</v>
      </c>
      <c r="H63" s="1" t="s">
        <v>104</v>
      </c>
      <c r="I63" s="1" t="s">
        <v>193</v>
      </c>
      <c r="J63" s="1">
        <f t="shared" si="0"/>
        <v>2001</v>
      </c>
    </row>
    <row r="64" spans="1:10" x14ac:dyDescent="0.25">
      <c r="A64" s="5" t="s">
        <v>86</v>
      </c>
      <c r="B64" s="1" t="s">
        <v>112</v>
      </c>
      <c r="C64" s="1" t="s">
        <v>112</v>
      </c>
      <c r="D64" s="1" t="s">
        <v>151</v>
      </c>
      <c r="E64" s="1">
        <v>2</v>
      </c>
      <c r="F64" s="1">
        <v>2</v>
      </c>
      <c r="G64" s="1">
        <v>1</v>
      </c>
      <c r="H64" s="1" t="s">
        <v>98</v>
      </c>
      <c r="I64" s="1" t="s">
        <v>194</v>
      </c>
      <c r="J64" s="1">
        <f t="shared" si="0"/>
        <v>166</v>
      </c>
    </row>
    <row r="65" spans="1:10" x14ac:dyDescent="0.25">
      <c r="A65" s="5" t="s">
        <v>86</v>
      </c>
      <c r="B65" s="1" t="s">
        <v>91</v>
      </c>
      <c r="C65" s="1" t="s">
        <v>92</v>
      </c>
      <c r="D65" s="1" t="s">
        <v>151</v>
      </c>
      <c r="E65" s="1">
        <v>5</v>
      </c>
      <c r="F65" s="1">
        <v>1</v>
      </c>
      <c r="G65" s="1" t="s">
        <v>4</v>
      </c>
      <c r="H65" s="1" t="s">
        <v>98</v>
      </c>
      <c r="I65" s="1" t="s">
        <v>195</v>
      </c>
      <c r="J65" s="1">
        <f t="shared" si="0"/>
        <v>385</v>
      </c>
    </row>
    <row r="66" spans="1:10" x14ac:dyDescent="0.25">
      <c r="A66" s="5" t="s">
        <v>86</v>
      </c>
      <c r="B66" s="1" t="s">
        <v>110</v>
      </c>
      <c r="C66" s="1" t="s">
        <v>110</v>
      </c>
      <c r="D66" s="1" t="s">
        <v>151</v>
      </c>
      <c r="E66" s="1">
        <v>1</v>
      </c>
      <c r="F66" s="1" t="s">
        <v>4</v>
      </c>
      <c r="G66" s="1" t="s">
        <v>4</v>
      </c>
      <c r="H66" s="1" t="s">
        <v>94</v>
      </c>
      <c r="I66" s="1" t="s">
        <v>6</v>
      </c>
      <c r="J66" s="1">
        <f t="shared" si="0"/>
        <v>90</v>
      </c>
    </row>
    <row r="67" spans="1:10" x14ac:dyDescent="0.25">
      <c r="A67" s="5" t="s">
        <v>86</v>
      </c>
      <c r="B67" s="1" t="s">
        <v>108</v>
      </c>
      <c r="C67" s="1" t="s">
        <v>108</v>
      </c>
      <c r="D67" s="1" t="s">
        <v>151</v>
      </c>
      <c r="E67" s="1">
        <v>2</v>
      </c>
      <c r="F67" s="1" t="s">
        <v>4</v>
      </c>
      <c r="G67" s="1" t="s">
        <v>4</v>
      </c>
      <c r="H67" s="1" t="s">
        <v>94</v>
      </c>
      <c r="I67" s="1" t="s">
        <v>66</v>
      </c>
      <c r="J67" s="1">
        <f t="shared" ref="J67:J73" si="1">VALUE(LEFT(I67,LEN(I67)-1))</f>
        <v>121</v>
      </c>
    </row>
    <row r="68" spans="1:10" x14ac:dyDescent="0.25">
      <c r="A68" s="5" t="s">
        <v>87</v>
      </c>
      <c r="B68" s="1" t="s">
        <v>91</v>
      </c>
      <c r="C68" s="1" t="s">
        <v>92</v>
      </c>
      <c r="D68" s="1" t="s">
        <v>151</v>
      </c>
      <c r="E68" s="1">
        <v>6</v>
      </c>
      <c r="F68" s="1">
        <v>1</v>
      </c>
      <c r="G68" s="1">
        <v>2</v>
      </c>
      <c r="H68" s="1" t="s">
        <v>94</v>
      </c>
      <c r="I68" s="1" t="s">
        <v>196</v>
      </c>
      <c r="J68" s="1">
        <f t="shared" si="1"/>
        <v>322</v>
      </c>
    </row>
    <row r="69" spans="1:10" x14ac:dyDescent="0.25">
      <c r="A69" s="5" t="s">
        <v>87</v>
      </c>
      <c r="B69" s="1" t="s">
        <v>105</v>
      </c>
      <c r="C69" s="1" t="s">
        <v>105</v>
      </c>
      <c r="D69" s="1" t="s">
        <v>151</v>
      </c>
      <c r="E69" s="1">
        <v>17</v>
      </c>
      <c r="F69" s="1">
        <v>6</v>
      </c>
      <c r="G69" s="1">
        <v>2</v>
      </c>
      <c r="H69" s="1" t="s">
        <v>104</v>
      </c>
      <c r="I69" s="1" t="s">
        <v>197</v>
      </c>
      <c r="J69" s="1">
        <f t="shared" si="1"/>
        <v>912</v>
      </c>
    </row>
    <row r="70" spans="1:10" x14ac:dyDescent="0.25">
      <c r="A70" s="5" t="s">
        <v>87</v>
      </c>
      <c r="B70" s="1" t="s">
        <v>112</v>
      </c>
      <c r="C70" s="1" t="s">
        <v>112</v>
      </c>
      <c r="D70" s="1" t="s">
        <v>151</v>
      </c>
      <c r="E70" s="1">
        <v>2</v>
      </c>
      <c r="F70" s="1">
        <v>1</v>
      </c>
      <c r="G70" s="1">
        <v>1</v>
      </c>
      <c r="H70" s="1" t="s">
        <v>94</v>
      </c>
      <c r="I70" s="1" t="s">
        <v>23</v>
      </c>
      <c r="J70" s="1">
        <f t="shared" si="1"/>
        <v>180</v>
      </c>
    </row>
    <row r="71" spans="1:10" x14ac:dyDescent="0.25">
      <c r="A71" s="5" t="s">
        <v>88</v>
      </c>
      <c r="B71" s="1" t="s">
        <v>105</v>
      </c>
      <c r="C71" s="1" t="s">
        <v>105</v>
      </c>
      <c r="D71" s="1" t="s">
        <v>151</v>
      </c>
      <c r="E71" s="1">
        <v>7</v>
      </c>
      <c r="F71" s="1">
        <v>1</v>
      </c>
      <c r="G71" s="1" t="s">
        <v>4</v>
      </c>
      <c r="H71" s="1" t="s">
        <v>94</v>
      </c>
      <c r="I71" s="1" t="s">
        <v>198</v>
      </c>
      <c r="J71" s="1">
        <f t="shared" si="1"/>
        <v>75</v>
      </c>
    </row>
    <row r="72" spans="1:10" x14ac:dyDescent="0.25">
      <c r="A72" s="5" t="s">
        <v>88</v>
      </c>
      <c r="B72" s="1" t="s">
        <v>91</v>
      </c>
      <c r="C72" s="1" t="s">
        <v>92</v>
      </c>
      <c r="D72" s="1" t="s">
        <v>151</v>
      </c>
      <c r="E72" s="1">
        <v>1</v>
      </c>
      <c r="F72" s="1" t="s">
        <v>4</v>
      </c>
      <c r="G72" s="1" t="s">
        <v>4</v>
      </c>
      <c r="H72" s="1" t="s">
        <v>94</v>
      </c>
      <c r="I72" s="1" t="s">
        <v>6</v>
      </c>
      <c r="J72" s="1">
        <f t="shared" si="1"/>
        <v>90</v>
      </c>
    </row>
    <row r="73" spans="1:10" x14ac:dyDescent="0.25">
      <c r="A73" s="5" t="s">
        <v>88</v>
      </c>
      <c r="B73" s="1" t="s">
        <v>112</v>
      </c>
      <c r="C73" s="1" t="s">
        <v>112</v>
      </c>
      <c r="D73" s="1" t="s">
        <v>151</v>
      </c>
      <c r="E73" s="1">
        <v>1</v>
      </c>
      <c r="F73" s="1" t="s">
        <v>4</v>
      </c>
      <c r="G73" s="1" t="s">
        <v>4</v>
      </c>
      <c r="H73" s="1" t="s">
        <v>94</v>
      </c>
      <c r="I73" s="1" t="s">
        <v>199</v>
      </c>
      <c r="J73" s="1">
        <f t="shared" si="1"/>
        <v>73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4425B-8E9B-46A2-9F59-4AC35124CA00}">
  <dimension ref="A3:T5"/>
  <sheetViews>
    <sheetView workbookViewId="0">
      <selection activeCell="B5" sqref="B5:R5"/>
    </sheetView>
  </sheetViews>
  <sheetFormatPr defaultRowHeight="15" x14ac:dyDescent="0.25"/>
  <cols>
    <col min="1" max="1" width="16.5703125" bestFit="1" customWidth="1"/>
    <col min="2" max="2" width="16.28515625" bestFit="1" customWidth="1"/>
    <col min="3" max="19" width="5.85546875" bestFit="1" customWidth="1"/>
    <col min="20" max="20" width="11.28515625" bestFit="1" customWidth="1"/>
  </cols>
  <sheetData>
    <row r="3" spans="1:20" x14ac:dyDescent="0.25">
      <c r="B3" s="7" t="s">
        <v>146</v>
      </c>
    </row>
    <row r="4" spans="1:20" x14ac:dyDescent="0.25">
      <c r="B4" t="s">
        <v>88</v>
      </c>
      <c r="C4" t="s">
        <v>87</v>
      </c>
      <c r="D4" t="s">
        <v>86</v>
      </c>
      <c r="E4" t="s">
        <v>85</v>
      </c>
      <c r="F4" t="s">
        <v>84</v>
      </c>
      <c r="G4" t="s">
        <v>83</v>
      </c>
      <c r="H4" t="s">
        <v>82</v>
      </c>
      <c r="I4" t="s">
        <v>81</v>
      </c>
      <c r="J4" t="s">
        <v>80</v>
      </c>
      <c r="K4" t="s">
        <v>38</v>
      </c>
      <c r="L4" t="s">
        <v>33</v>
      </c>
      <c r="M4" t="s">
        <v>30</v>
      </c>
      <c r="N4" t="s">
        <v>26</v>
      </c>
      <c r="O4" t="s">
        <v>20</v>
      </c>
      <c r="P4" t="s">
        <v>16</v>
      </c>
      <c r="Q4" t="s">
        <v>12</v>
      </c>
      <c r="R4" t="s">
        <v>8</v>
      </c>
      <c r="S4" t="s">
        <v>3</v>
      </c>
      <c r="T4" t="s">
        <v>145</v>
      </c>
    </row>
    <row r="5" spans="1:20" x14ac:dyDescent="0.25">
      <c r="A5" t="s">
        <v>147</v>
      </c>
      <c r="B5" s="8">
        <v>238</v>
      </c>
      <c r="C5" s="8">
        <v>1414</v>
      </c>
      <c r="D5" s="8">
        <v>2763</v>
      </c>
      <c r="E5" s="8">
        <v>2954</v>
      </c>
      <c r="F5" s="8">
        <v>3890</v>
      </c>
      <c r="G5" s="8">
        <v>4402</v>
      </c>
      <c r="H5" s="8">
        <v>4579</v>
      </c>
      <c r="I5" s="8">
        <v>5221</v>
      </c>
      <c r="J5" s="8">
        <v>4070</v>
      </c>
      <c r="K5" s="8">
        <v>3742</v>
      </c>
      <c r="L5" s="8">
        <v>5060</v>
      </c>
      <c r="M5" s="8">
        <v>4229</v>
      </c>
      <c r="N5" s="8">
        <v>4452</v>
      </c>
      <c r="O5" s="8">
        <v>4468</v>
      </c>
      <c r="P5" s="8">
        <v>4023</v>
      </c>
      <c r="Q5" s="8">
        <v>3810</v>
      </c>
      <c r="R5" s="8">
        <v>4192</v>
      </c>
      <c r="S5" s="8">
        <v>114</v>
      </c>
      <c r="T5" s="8">
        <v>63621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76085-E2E2-4AC9-A3A2-E203F9B6BC13}">
  <dimension ref="A1:J81"/>
  <sheetViews>
    <sheetView zoomScaleNormal="100" workbookViewId="0">
      <selection activeCell="J2" sqref="J2"/>
    </sheetView>
  </sheetViews>
  <sheetFormatPr defaultRowHeight="15" x14ac:dyDescent="0.25"/>
  <cols>
    <col min="1" max="1" width="11" style="4" customWidth="1"/>
    <col min="2" max="2" width="32.85546875" style="3" bestFit="1" customWidth="1"/>
    <col min="3" max="3" width="21.5703125" bestFit="1" customWidth="1"/>
    <col min="4" max="4" width="18.140625" bestFit="1" customWidth="1"/>
    <col min="5" max="9" width="11" customWidth="1"/>
    <col min="10" max="10" width="12" customWidth="1"/>
  </cols>
  <sheetData>
    <row r="1" spans="1:10" x14ac:dyDescent="0.25">
      <c r="A1" s="5" t="s">
        <v>135</v>
      </c>
      <c r="B1" s="6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</row>
    <row r="2" spans="1:10" x14ac:dyDescent="0.25">
      <c r="A2" s="5" t="s">
        <v>3</v>
      </c>
      <c r="B2" s="6" t="s">
        <v>91</v>
      </c>
      <c r="C2" s="1" t="s">
        <v>92</v>
      </c>
      <c r="D2" s="1" t="s">
        <v>93</v>
      </c>
      <c r="E2" s="1">
        <v>1</v>
      </c>
      <c r="F2" s="1">
        <v>1</v>
      </c>
      <c r="G2" s="1" t="s">
        <v>4</v>
      </c>
      <c r="H2" s="1" t="s">
        <v>94</v>
      </c>
      <c r="I2" s="1" t="s">
        <v>5</v>
      </c>
      <c r="J2" s="1">
        <f>VALUE(LEFT(I2,LEN(I2)-1))</f>
        <v>72</v>
      </c>
    </row>
    <row r="3" spans="1:10" x14ac:dyDescent="0.25">
      <c r="A3" s="5" t="s">
        <v>3</v>
      </c>
      <c r="B3" s="6" t="s">
        <v>95</v>
      </c>
      <c r="C3" s="1" t="s">
        <v>95</v>
      </c>
      <c r="D3" s="1" t="s">
        <v>93</v>
      </c>
      <c r="E3" s="1">
        <v>1</v>
      </c>
      <c r="F3" s="1">
        <v>2</v>
      </c>
      <c r="G3" s="1" t="s">
        <v>4</v>
      </c>
      <c r="H3" s="1" t="s">
        <v>94</v>
      </c>
      <c r="I3" s="1" t="s">
        <v>6</v>
      </c>
      <c r="J3" s="1">
        <f t="shared" ref="J3:J66" si="0">VALUE(LEFT(I3,LEN(I3)-1))</f>
        <v>90</v>
      </c>
    </row>
    <row r="4" spans="1:10" x14ac:dyDescent="0.25">
      <c r="A4" s="5" t="s">
        <v>3</v>
      </c>
      <c r="B4" s="6" t="s">
        <v>96</v>
      </c>
      <c r="C4" s="1" t="s">
        <v>96</v>
      </c>
      <c r="D4" s="1" t="s">
        <v>97</v>
      </c>
      <c r="E4" s="1">
        <v>1</v>
      </c>
      <c r="F4" s="1" t="s">
        <v>4</v>
      </c>
      <c r="G4" s="1" t="s">
        <v>4</v>
      </c>
      <c r="H4" s="1" t="s">
        <v>98</v>
      </c>
      <c r="I4" s="1" t="s">
        <v>7</v>
      </c>
      <c r="J4" s="1">
        <f t="shared" si="0"/>
        <v>30</v>
      </c>
    </row>
    <row r="5" spans="1:10" x14ac:dyDescent="0.25">
      <c r="A5" s="5" t="s">
        <v>8</v>
      </c>
      <c r="B5" s="6" t="s">
        <v>96</v>
      </c>
      <c r="C5" s="1" t="s">
        <v>96</v>
      </c>
      <c r="D5" s="1" t="s">
        <v>97</v>
      </c>
      <c r="E5" s="1">
        <v>33</v>
      </c>
      <c r="F5" s="1">
        <v>29</v>
      </c>
      <c r="G5" s="1">
        <v>2</v>
      </c>
      <c r="H5" s="1" t="s">
        <v>99</v>
      </c>
      <c r="I5" s="1" t="s">
        <v>9</v>
      </c>
      <c r="J5" s="1">
        <f t="shared" si="0"/>
        <v>2803</v>
      </c>
    </row>
    <row r="6" spans="1:10" x14ac:dyDescent="0.25">
      <c r="A6" s="5" t="s">
        <v>8</v>
      </c>
      <c r="B6" s="6" t="s">
        <v>100</v>
      </c>
      <c r="C6" s="1" t="s">
        <v>100</v>
      </c>
      <c r="D6" s="1" t="s">
        <v>97</v>
      </c>
      <c r="E6" s="1">
        <v>4</v>
      </c>
      <c r="F6" s="1">
        <v>2</v>
      </c>
      <c r="G6" s="1" t="s">
        <v>4</v>
      </c>
      <c r="H6" s="1" t="s">
        <v>98</v>
      </c>
      <c r="I6" s="1" t="s">
        <v>10</v>
      </c>
      <c r="J6" s="1">
        <f t="shared" si="0"/>
        <v>288</v>
      </c>
    </row>
    <row r="7" spans="1:10" x14ac:dyDescent="0.25">
      <c r="A7" s="5" t="s">
        <v>8</v>
      </c>
      <c r="B7" s="6" t="s">
        <v>91</v>
      </c>
      <c r="C7" s="1" t="s">
        <v>92</v>
      </c>
      <c r="D7" s="1" t="s">
        <v>97</v>
      </c>
      <c r="E7" s="1">
        <v>6</v>
      </c>
      <c r="F7" s="1">
        <v>4</v>
      </c>
      <c r="G7" s="1">
        <v>2</v>
      </c>
      <c r="H7" s="1" t="s">
        <v>94</v>
      </c>
      <c r="I7" s="1" t="s">
        <v>11</v>
      </c>
      <c r="J7" s="1">
        <f t="shared" si="0"/>
        <v>570</v>
      </c>
    </row>
    <row r="8" spans="1:10" x14ac:dyDescent="0.25">
      <c r="A8" s="5" t="s">
        <v>8</v>
      </c>
      <c r="B8" s="6" t="s">
        <v>101</v>
      </c>
      <c r="C8" s="1" t="s">
        <v>101</v>
      </c>
      <c r="D8" s="1" t="s">
        <v>97</v>
      </c>
      <c r="E8" s="1">
        <v>1</v>
      </c>
      <c r="F8" s="1">
        <v>1</v>
      </c>
      <c r="G8" s="1" t="s">
        <v>4</v>
      </c>
      <c r="H8" s="1" t="s">
        <v>98</v>
      </c>
      <c r="I8" s="1" t="s">
        <v>6</v>
      </c>
      <c r="J8" s="1">
        <f t="shared" si="0"/>
        <v>90</v>
      </c>
    </row>
    <row r="9" spans="1:10" x14ac:dyDescent="0.25">
      <c r="A9" s="5" t="s">
        <v>12</v>
      </c>
      <c r="B9" s="6" t="s">
        <v>91</v>
      </c>
      <c r="C9" s="1" t="s">
        <v>92</v>
      </c>
      <c r="D9" s="1" t="s">
        <v>97</v>
      </c>
      <c r="E9" s="1">
        <v>8</v>
      </c>
      <c r="F9" s="1">
        <v>4</v>
      </c>
      <c r="G9" s="1">
        <v>1</v>
      </c>
      <c r="H9" s="1" t="s">
        <v>94</v>
      </c>
      <c r="I9" s="1" t="s">
        <v>13</v>
      </c>
      <c r="J9" s="1">
        <f t="shared" si="0"/>
        <v>712</v>
      </c>
    </row>
    <row r="10" spans="1:10" x14ac:dyDescent="0.25">
      <c r="A10" s="5" t="s">
        <v>12</v>
      </c>
      <c r="B10" s="6" t="s">
        <v>96</v>
      </c>
      <c r="C10" s="1" t="s">
        <v>96</v>
      </c>
      <c r="D10" s="1" t="s">
        <v>97</v>
      </c>
      <c r="E10" s="1">
        <v>33</v>
      </c>
      <c r="F10" s="1">
        <v>31</v>
      </c>
      <c r="G10" s="1">
        <v>6</v>
      </c>
      <c r="H10" s="1" t="s">
        <v>99</v>
      </c>
      <c r="I10" s="1" t="s">
        <v>14</v>
      </c>
      <c r="J10" s="1">
        <f t="shared" si="0"/>
        <v>2919</v>
      </c>
    </row>
    <row r="11" spans="1:10" x14ac:dyDescent="0.25">
      <c r="A11" s="5" t="s">
        <v>12</v>
      </c>
      <c r="B11" s="6" t="s">
        <v>100</v>
      </c>
      <c r="C11" s="1" t="s">
        <v>100</v>
      </c>
      <c r="D11" s="1" t="s">
        <v>97</v>
      </c>
      <c r="E11" s="1">
        <v>4</v>
      </c>
      <c r="F11" s="1">
        <v>2</v>
      </c>
      <c r="G11" s="1" t="s">
        <v>4</v>
      </c>
      <c r="H11" s="1" t="s">
        <v>94</v>
      </c>
      <c r="I11" s="1" t="s">
        <v>15</v>
      </c>
      <c r="J11" s="1">
        <f t="shared" si="0"/>
        <v>360</v>
      </c>
    </row>
    <row r="12" spans="1:10" x14ac:dyDescent="0.25">
      <c r="A12" s="5" t="s">
        <v>12</v>
      </c>
      <c r="B12" s="6" t="s">
        <v>101</v>
      </c>
      <c r="C12" s="1" t="s">
        <v>101</v>
      </c>
      <c r="D12" s="1" t="s">
        <v>97</v>
      </c>
      <c r="E12" s="1">
        <v>1</v>
      </c>
      <c r="F12" s="1" t="s">
        <v>4</v>
      </c>
      <c r="G12" s="1" t="s">
        <v>4</v>
      </c>
      <c r="H12" s="1" t="s">
        <v>94</v>
      </c>
      <c r="I12" s="1" t="s">
        <v>6</v>
      </c>
      <c r="J12" s="1">
        <f t="shared" si="0"/>
        <v>90</v>
      </c>
    </row>
    <row r="13" spans="1:10" x14ac:dyDescent="0.25">
      <c r="A13" s="5" t="s">
        <v>16</v>
      </c>
      <c r="B13" s="6" t="s">
        <v>96</v>
      </c>
      <c r="C13" s="1" t="s">
        <v>96</v>
      </c>
      <c r="D13" s="1" t="s">
        <v>97</v>
      </c>
      <c r="E13" s="1">
        <v>31</v>
      </c>
      <c r="F13" s="1">
        <v>21</v>
      </c>
      <c r="G13" s="1">
        <v>9</v>
      </c>
      <c r="H13" s="1" t="s">
        <v>99</v>
      </c>
      <c r="I13" s="1" t="s">
        <v>17</v>
      </c>
      <c r="J13" s="1">
        <f t="shared" si="0"/>
        <v>2689</v>
      </c>
    </row>
    <row r="14" spans="1:10" x14ac:dyDescent="0.25">
      <c r="A14" s="5" t="s">
        <v>16</v>
      </c>
      <c r="B14" s="6" t="s">
        <v>91</v>
      </c>
      <c r="C14" s="1" t="s">
        <v>92</v>
      </c>
      <c r="D14" s="1" t="s">
        <v>97</v>
      </c>
      <c r="E14" s="1">
        <v>9</v>
      </c>
      <c r="F14" s="1">
        <v>6</v>
      </c>
      <c r="G14" s="1">
        <v>2</v>
      </c>
      <c r="H14" s="1" t="s">
        <v>102</v>
      </c>
      <c r="I14" s="1" t="s">
        <v>18</v>
      </c>
      <c r="J14" s="1">
        <f t="shared" si="0"/>
        <v>749</v>
      </c>
    </row>
    <row r="15" spans="1:10" x14ac:dyDescent="0.25">
      <c r="A15" s="5" t="s">
        <v>16</v>
      </c>
      <c r="B15" s="6" t="s">
        <v>100</v>
      </c>
      <c r="C15" s="1" t="s">
        <v>100</v>
      </c>
      <c r="D15" s="1" t="s">
        <v>97</v>
      </c>
      <c r="E15" s="1">
        <v>2</v>
      </c>
      <c r="F15" s="1" t="s">
        <v>4</v>
      </c>
      <c r="G15" s="1" t="s">
        <v>4</v>
      </c>
      <c r="H15" s="1" t="s">
        <v>94</v>
      </c>
      <c r="I15" s="1" t="s">
        <v>19</v>
      </c>
      <c r="J15" s="1">
        <f t="shared" si="0"/>
        <v>118</v>
      </c>
    </row>
    <row r="16" spans="1:10" x14ac:dyDescent="0.25">
      <c r="A16" s="5" t="s">
        <v>16</v>
      </c>
      <c r="B16" s="6" t="s">
        <v>101</v>
      </c>
      <c r="C16" s="1" t="s">
        <v>101</v>
      </c>
      <c r="D16" s="1" t="s">
        <v>97</v>
      </c>
      <c r="E16" s="1">
        <v>1</v>
      </c>
      <c r="F16" s="1">
        <v>1</v>
      </c>
      <c r="G16" s="1" t="s">
        <v>4</v>
      </c>
      <c r="H16" s="1" t="s">
        <v>94</v>
      </c>
      <c r="I16" s="1" t="s">
        <v>6</v>
      </c>
      <c r="J16" s="1">
        <f t="shared" si="0"/>
        <v>90</v>
      </c>
    </row>
    <row r="17" spans="1:10" x14ac:dyDescent="0.25">
      <c r="A17" s="5" t="s">
        <v>20</v>
      </c>
      <c r="B17" s="6" t="s">
        <v>91</v>
      </c>
      <c r="C17" s="1" t="s">
        <v>92</v>
      </c>
      <c r="D17" s="1" t="s">
        <v>103</v>
      </c>
      <c r="E17" s="1">
        <v>13</v>
      </c>
      <c r="F17" s="1">
        <v>15</v>
      </c>
      <c r="G17" s="1">
        <v>3</v>
      </c>
      <c r="H17" s="1" t="s">
        <v>104</v>
      </c>
      <c r="I17" s="1" t="s">
        <v>21</v>
      </c>
      <c r="J17" s="1">
        <f t="shared" si="0"/>
        <v>1170</v>
      </c>
    </row>
    <row r="18" spans="1:10" x14ac:dyDescent="0.25">
      <c r="A18" s="5" t="s">
        <v>20</v>
      </c>
      <c r="B18" s="6" t="s">
        <v>105</v>
      </c>
      <c r="C18" s="1" t="s">
        <v>105</v>
      </c>
      <c r="D18" s="1" t="s">
        <v>103</v>
      </c>
      <c r="E18" s="1">
        <v>27</v>
      </c>
      <c r="F18" s="1">
        <v>26</v>
      </c>
      <c r="G18" s="1">
        <v>5</v>
      </c>
      <c r="H18" s="1" t="s">
        <v>98</v>
      </c>
      <c r="I18" s="1" t="s">
        <v>22</v>
      </c>
      <c r="J18" s="1">
        <f t="shared" si="0"/>
        <v>2297</v>
      </c>
    </row>
    <row r="19" spans="1:10" x14ac:dyDescent="0.25">
      <c r="A19" s="5" t="s">
        <v>20</v>
      </c>
      <c r="B19" s="6" t="s">
        <v>106</v>
      </c>
      <c r="C19" s="1" t="s">
        <v>107</v>
      </c>
      <c r="D19" s="1" t="s">
        <v>103</v>
      </c>
      <c r="E19" s="1">
        <v>2</v>
      </c>
      <c r="F19" s="1">
        <v>2</v>
      </c>
      <c r="G19" s="1" t="s">
        <v>4</v>
      </c>
      <c r="H19" s="1" t="s">
        <v>94</v>
      </c>
      <c r="I19" s="1" t="s">
        <v>23</v>
      </c>
      <c r="J19" s="1">
        <f t="shared" si="0"/>
        <v>180</v>
      </c>
    </row>
    <row r="20" spans="1:10" x14ac:dyDescent="0.25">
      <c r="A20" s="5" t="s">
        <v>20</v>
      </c>
      <c r="B20" s="6" t="s">
        <v>108</v>
      </c>
      <c r="C20" s="1" t="s">
        <v>108</v>
      </c>
      <c r="D20" s="1" t="s">
        <v>103</v>
      </c>
      <c r="E20" s="1">
        <v>1</v>
      </c>
      <c r="F20" s="1">
        <v>1</v>
      </c>
      <c r="G20" s="1" t="s">
        <v>4</v>
      </c>
      <c r="H20" s="1" t="s">
        <v>109</v>
      </c>
      <c r="I20" s="1" t="s">
        <v>24</v>
      </c>
      <c r="J20" s="1">
        <f t="shared" si="0"/>
        <v>24</v>
      </c>
    </row>
    <row r="21" spans="1:10" x14ac:dyDescent="0.25">
      <c r="A21" s="5" t="s">
        <v>20</v>
      </c>
      <c r="B21" s="6" t="s">
        <v>110</v>
      </c>
      <c r="C21" s="1" t="s">
        <v>110</v>
      </c>
      <c r="D21" s="1" t="s">
        <v>103</v>
      </c>
      <c r="E21" s="1">
        <v>1</v>
      </c>
      <c r="F21" s="1" t="s">
        <v>4</v>
      </c>
      <c r="G21" s="1" t="s">
        <v>4</v>
      </c>
      <c r="H21" s="1" t="s">
        <v>94</v>
      </c>
      <c r="I21" s="1" t="s">
        <v>25</v>
      </c>
      <c r="J21" s="1">
        <f t="shared" si="0"/>
        <v>7</v>
      </c>
    </row>
    <row r="22" spans="1:10" x14ac:dyDescent="0.25">
      <c r="A22" s="5" t="s">
        <v>26</v>
      </c>
      <c r="B22" s="6" t="s">
        <v>91</v>
      </c>
      <c r="C22" s="1" t="s">
        <v>92</v>
      </c>
      <c r="D22" s="1" t="s">
        <v>103</v>
      </c>
      <c r="E22" s="1">
        <v>13</v>
      </c>
      <c r="F22" s="1">
        <v>12</v>
      </c>
      <c r="G22" s="1">
        <v>6</v>
      </c>
      <c r="H22" s="1" t="s">
        <v>98</v>
      </c>
      <c r="I22" s="1" t="s">
        <v>27</v>
      </c>
      <c r="J22" s="1">
        <f t="shared" si="0"/>
        <v>1200</v>
      </c>
    </row>
    <row r="23" spans="1:10" x14ac:dyDescent="0.25">
      <c r="A23" s="5" t="s">
        <v>26</v>
      </c>
      <c r="B23" s="6" t="s">
        <v>105</v>
      </c>
      <c r="C23" s="1" t="s">
        <v>105</v>
      </c>
      <c r="D23" s="1" t="s">
        <v>103</v>
      </c>
      <c r="E23" s="1">
        <v>29</v>
      </c>
      <c r="F23" s="1">
        <v>25</v>
      </c>
      <c r="G23" s="1">
        <v>6</v>
      </c>
      <c r="H23" s="1" t="s">
        <v>111</v>
      </c>
      <c r="I23" s="1" t="s">
        <v>28</v>
      </c>
      <c r="J23" s="1">
        <f t="shared" si="0"/>
        <v>2544</v>
      </c>
    </row>
    <row r="24" spans="1:10" x14ac:dyDescent="0.25">
      <c r="A24" s="5" t="s">
        <v>26</v>
      </c>
      <c r="B24" s="6" t="s">
        <v>112</v>
      </c>
      <c r="C24" s="1" t="s">
        <v>112</v>
      </c>
      <c r="D24" s="1" t="s">
        <v>103</v>
      </c>
      <c r="E24" s="1">
        <v>2</v>
      </c>
      <c r="F24" s="1">
        <v>1</v>
      </c>
      <c r="G24" s="1" t="s">
        <v>4</v>
      </c>
      <c r="H24" s="1" t="s">
        <v>94</v>
      </c>
      <c r="I24" s="1" t="s">
        <v>23</v>
      </c>
      <c r="J24" s="1">
        <f t="shared" si="0"/>
        <v>180</v>
      </c>
    </row>
    <row r="25" spans="1:10" x14ac:dyDescent="0.25">
      <c r="A25" s="5" t="s">
        <v>26</v>
      </c>
      <c r="B25" s="6" t="s">
        <v>106</v>
      </c>
      <c r="C25" s="1" t="s">
        <v>107</v>
      </c>
      <c r="D25" s="1" t="s">
        <v>103</v>
      </c>
      <c r="E25" s="1">
        <v>2</v>
      </c>
      <c r="F25" s="1">
        <v>4</v>
      </c>
      <c r="G25" s="1" t="s">
        <v>4</v>
      </c>
      <c r="H25" s="1" t="s">
        <v>94</v>
      </c>
      <c r="I25" s="1" t="s">
        <v>29</v>
      </c>
      <c r="J25" s="1">
        <f t="shared" si="0"/>
        <v>202</v>
      </c>
    </row>
    <row r="26" spans="1:10" x14ac:dyDescent="0.25">
      <c r="A26" s="5" t="s">
        <v>30</v>
      </c>
      <c r="B26" s="6" t="s">
        <v>91</v>
      </c>
      <c r="C26" s="1" t="s">
        <v>92</v>
      </c>
      <c r="D26" s="1" t="s">
        <v>103</v>
      </c>
      <c r="E26" s="1">
        <v>12</v>
      </c>
      <c r="F26" s="1">
        <v>16</v>
      </c>
      <c r="G26" s="1">
        <v>4</v>
      </c>
      <c r="H26" s="1" t="s">
        <v>98</v>
      </c>
      <c r="I26" s="1" t="s">
        <v>31</v>
      </c>
      <c r="J26" s="1">
        <f t="shared" si="0"/>
        <v>1109</v>
      </c>
    </row>
    <row r="27" spans="1:10" x14ac:dyDescent="0.25">
      <c r="A27" s="5" t="s">
        <v>30</v>
      </c>
      <c r="B27" s="6" t="s">
        <v>105</v>
      </c>
      <c r="C27" s="1" t="s">
        <v>105</v>
      </c>
      <c r="D27" s="1" t="s">
        <v>103</v>
      </c>
      <c r="E27" s="1">
        <v>36</v>
      </c>
      <c r="F27" s="1">
        <v>35</v>
      </c>
      <c r="G27" s="1">
        <v>11</v>
      </c>
      <c r="H27" s="1" t="s">
        <v>104</v>
      </c>
      <c r="I27" s="1" t="s">
        <v>32</v>
      </c>
      <c r="J27" s="1">
        <f t="shared" si="0"/>
        <v>3184</v>
      </c>
    </row>
    <row r="28" spans="1:10" x14ac:dyDescent="0.25">
      <c r="A28" s="5" t="s">
        <v>33</v>
      </c>
      <c r="B28" s="6" t="s">
        <v>105</v>
      </c>
      <c r="C28" s="1" t="s">
        <v>105</v>
      </c>
      <c r="D28" s="1" t="s">
        <v>103</v>
      </c>
      <c r="E28" s="1">
        <v>35</v>
      </c>
      <c r="F28" s="1">
        <v>48</v>
      </c>
      <c r="G28" s="1">
        <v>17</v>
      </c>
      <c r="H28" s="1" t="s">
        <v>113</v>
      </c>
      <c r="I28" s="1" t="s">
        <v>34</v>
      </c>
      <c r="J28" s="1">
        <f t="shared" si="0"/>
        <v>3099</v>
      </c>
    </row>
    <row r="29" spans="1:10" x14ac:dyDescent="0.25">
      <c r="A29" s="5" t="s">
        <v>33</v>
      </c>
      <c r="B29" s="6" t="s">
        <v>91</v>
      </c>
      <c r="C29" s="1" t="s">
        <v>92</v>
      </c>
      <c r="D29" s="1" t="s">
        <v>103</v>
      </c>
      <c r="E29" s="1">
        <v>12</v>
      </c>
      <c r="F29" s="1">
        <v>10</v>
      </c>
      <c r="G29" s="1">
        <v>4</v>
      </c>
      <c r="H29" s="1" t="s">
        <v>98</v>
      </c>
      <c r="I29" s="1" t="s">
        <v>35</v>
      </c>
      <c r="J29" s="1">
        <f t="shared" si="0"/>
        <v>1065</v>
      </c>
    </row>
    <row r="30" spans="1:10" x14ac:dyDescent="0.25">
      <c r="A30" s="5" t="s">
        <v>33</v>
      </c>
      <c r="B30" s="6" t="s">
        <v>112</v>
      </c>
      <c r="C30" s="1" t="s">
        <v>112</v>
      </c>
      <c r="D30" s="1" t="s">
        <v>103</v>
      </c>
      <c r="E30" s="1">
        <v>2</v>
      </c>
      <c r="F30" s="1">
        <v>1</v>
      </c>
      <c r="G30" s="1" t="s">
        <v>4</v>
      </c>
      <c r="H30" s="1" t="s">
        <v>94</v>
      </c>
      <c r="I30" s="1" t="s">
        <v>36</v>
      </c>
      <c r="J30" s="1">
        <f t="shared" si="0"/>
        <v>117</v>
      </c>
    </row>
    <row r="31" spans="1:10" x14ac:dyDescent="0.25">
      <c r="A31" s="5" t="s">
        <v>33</v>
      </c>
      <c r="B31" s="6" t="s">
        <v>106</v>
      </c>
      <c r="C31" s="1" t="s">
        <v>107</v>
      </c>
      <c r="D31" s="1" t="s">
        <v>103</v>
      </c>
      <c r="E31" s="1">
        <v>2</v>
      </c>
      <c r="F31" s="1" t="s">
        <v>4</v>
      </c>
      <c r="G31" s="1">
        <v>2</v>
      </c>
      <c r="H31" s="1" t="s">
        <v>94</v>
      </c>
      <c r="I31" s="1" t="s">
        <v>23</v>
      </c>
      <c r="J31" s="1">
        <f t="shared" si="0"/>
        <v>180</v>
      </c>
    </row>
    <row r="32" spans="1:10" x14ac:dyDescent="0.25">
      <c r="A32" s="5" t="s">
        <v>33</v>
      </c>
      <c r="B32" s="6" t="s">
        <v>108</v>
      </c>
      <c r="C32" s="1" t="s">
        <v>108</v>
      </c>
      <c r="D32" s="1" t="s">
        <v>103</v>
      </c>
      <c r="E32" s="1">
        <v>2</v>
      </c>
      <c r="F32" s="1" t="s">
        <v>4</v>
      </c>
      <c r="G32" s="1" t="s">
        <v>4</v>
      </c>
      <c r="H32" s="1" t="s">
        <v>98</v>
      </c>
      <c r="I32" s="1" t="s">
        <v>37</v>
      </c>
      <c r="J32" s="1">
        <f t="shared" si="0"/>
        <v>89</v>
      </c>
    </row>
    <row r="33" spans="1:10" x14ac:dyDescent="0.25">
      <c r="A33" s="5" t="s">
        <v>33</v>
      </c>
      <c r="B33" s="6" t="s">
        <v>110</v>
      </c>
      <c r="C33" s="1" t="s">
        <v>110</v>
      </c>
      <c r="D33" s="1" t="s">
        <v>103</v>
      </c>
      <c r="E33" s="1">
        <v>1</v>
      </c>
      <c r="F33" s="1">
        <v>2</v>
      </c>
      <c r="G33" s="1" t="s">
        <v>4</v>
      </c>
      <c r="H33" s="1" t="s">
        <v>94</v>
      </c>
      <c r="I33" s="1" t="s">
        <v>6</v>
      </c>
      <c r="J33" s="1">
        <f t="shared" si="0"/>
        <v>90</v>
      </c>
    </row>
    <row r="34" spans="1:10" x14ac:dyDescent="0.25">
      <c r="A34" s="5" t="s">
        <v>38</v>
      </c>
      <c r="B34" s="6" t="s">
        <v>91</v>
      </c>
      <c r="C34" s="1" t="s">
        <v>92</v>
      </c>
      <c r="D34" s="1" t="s">
        <v>103</v>
      </c>
      <c r="E34" s="1">
        <v>11</v>
      </c>
      <c r="F34" s="1">
        <v>17</v>
      </c>
      <c r="G34" s="1">
        <v>5</v>
      </c>
      <c r="H34" s="1" t="s">
        <v>98</v>
      </c>
      <c r="I34" s="1" t="s">
        <v>39</v>
      </c>
      <c r="J34" s="1">
        <f t="shared" si="0"/>
        <v>993</v>
      </c>
    </row>
    <row r="35" spans="1:10" x14ac:dyDescent="0.25">
      <c r="A35" s="5" t="s">
        <v>38</v>
      </c>
      <c r="B35" s="6" t="s">
        <v>105</v>
      </c>
      <c r="C35" s="1" t="s">
        <v>105</v>
      </c>
      <c r="D35" s="1" t="s">
        <v>103</v>
      </c>
      <c r="E35" s="1">
        <v>30</v>
      </c>
      <c r="F35" s="1">
        <v>31</v>
      </c>
      <c r="G35" s="1">
        <v>11</v>
      </c>
      <c r="H35" s="1" t="s">
        <v>113</v>
      </c>
      <c r="I35" s="1" t="s">
        <v>40</v>
      </c>
      <c r="J35" s="1">
        <f t="shared" si="0"/>
        <v>2540</v>
      </c>
    </row>
    <row r="36" spans="1:10" x14ac:dyDescent="0.25">
      <c r="A36" s="5" t="s">
        <v>38</v>
      </c>
      <c r="B36" s="6" t="s">
        <v>112</v>
      </c>
      <c r="C36" s="1" t="s">
        <v>112</v>
      </c>
      <c r="D36" s="1" t="s">
        <v>103</v>
      </c>
      <c r="E36" s="1">
        <v>6</v>
      </c>
      <c r="F36" s="1">
        <v>3</v>
      </c>
      <c r="G36" s="1">
        <v>1</v>
      </c>
      <c r="H36" s="1" t="s">
        <v>104</v>
      </c>
      <c r="I36" s="1" t="s">
        <v>41</v>
      </c>
      <c r="J36" s="1">
        <f t="shared" si="0"/>
        <v>497</v>
      </c>
    </row>
    <row r="37" spans="1:10" x14ac:dyDescent="0.25">
      <c r="A37" s="5" t="s">
        <v>80</v>
      </c>
      <c r="B37" s="6" t="s">
        <v>112</v>
      </c>
      <c r="C37" s="1" t="s">
        <v>112</v>
      </c>
      <c r="D37" s="1" t="s">
        <v>103</v>
      </c>
      <c r="E37" s="1">
        <v>7</v>
      </c>
      <c r="F37" s="1">
        <v>7</v>
      </c>
      <c r="G37" s="1">
        <v>1</v>
      </c>
      <c r="H37" s="1" t="s">
        <v>114</v>
      </c>
      <c r="I37" s="1" t="s">
        <v>42</v>
      </c>
      <c r="J37" s="1">
        <f t="shared" si="0"/>
        <v>655</v>
      </c>
    </row>
    <row r="38" spans="1:10" x14ac:dyDescent="0.25">
      <c r="A38" s="5" t="s">
        <v>80</v>
      </c>
      <c r="B38" s="6" t="s">
        <v>105</v>
      </c>
      <c r="C38" s="1" t="s">
        <v>105</v>
      </c>
      <c r="D38" s="1" t="s">
        <v>103</v>
      </c>
      <c r="E38" s="1">
        <v>34</v>
      </c>
      <c r="F38" s="1">
        <v>34</v>
      </c>
      <c r="G38" s="1">
        <v>11</v>
      </c>
      <c r="H38" s="1" t="s">
        <v>115</v>
      </c>
      <c r="I38" s="1" t="s">
        <v>43</v>
      </c>
      <c r="J38" s="1">
        <f t="shared" si="0"/>
        <v>2716</v>
      </c>
    </row>
    <row r="39" spans="1:10" x14ac:dyDescent="0.25">
      <c r="A39" s="5" t="s">
        <v>80</v>
      </c>
      <c r="B39" s="6" t="s">
        <v>91</v>
      </c>
      <c r="C39" s="1" t="s">
        <v>92</v>
      </c>
      <c r="D39" s="1" t="s">
        <v>103</v>
      </c>
      <c r="E39" s="1">
        <v>12</v>
      </c>
      <c r="F39" s="1">
        <v>12</v>
      </c>
      <c r="G39" s="1">
        <v>1</v>
      </c>
      <c r="H39" s="1" t="s">
        <v>98</v>
      </c>
      <c r="I39" s="1" t="s">
        <v>44</v>
      </c>
      <c r="J39" s="1">
        <f t="shared" si="0"/>
        <v>1080</v>
      </c>
    </row>
    <row r="40" spans="1:10" x14ac:dyDescent="0.25">
      <c r="A40" s="5" t="s">
        <v>80</v>
      </c>
      <c r="B40" s="6" t="s">
        <v>108</v>
      </c>
      <c r="C40" s="1" t="s">
        <v>108</v>
      </c>
      <c r="D40" s="1" t="s">
        <v>103</v>
      </c>
      <c r="E40" s="1">
        <v>2</v>
      </c>
      <c r="F40" s="1">
        <v>2</v>
      </c>
      <c r="G40" s="1" t="s">
        <v>4</v>
      </c>
      <c r="H40" s="1" t="s">
        <v>94</v>
      </c>
      <c r="I40" s="1" t="s">
        <v>23</v>
      </c>
      <c r="J40" s="1">
        <f t="shared" si="0"/>
        <v>180</v>
      </c>
    </row>
    <row r="41" spans="1:10" x14ac:dyDescent="0.25">
      <c r="A41" s="5" t="s">
        <v>81</v>
      </c>
      <c r="B41" s="6" t="s">
        <v>105</v>
      </c>
      <c r="C41" s="1" t="s">
        <v>105</v>
      </c>
      <c r="D41" s="1" t="s">
        <v>103</v>
      </c>
      <c r="E41" s="1">
        <v>38</v>
      </c>
      <c r="F41" s="1">
        <v>46</v>
      </c>
      <c r="G41" s="1">
        <v>12</v>
      </c>
      <c r="H41" s="1" t="s">
        <v>111</v>
      </c>
      <c r="I41" s="1" t="s">
        <v>45</v>
      </c>
      <c r="J41" s="1">
        <f t="shared" si="0"/>
        <v>3354</v>
      </c>
    </row>
    <row r="42" spans="1:10" x14ac:dyDescent="0.25">
      <c r="A42" s="5" t="s">
        <v>81</v>
      </c>
      <c r="B42" s="6" t="s">
        <v>91</v>
      </c>
      <c r="C42" s="1" t="s">
        <v>92</v>
      </c>
      <c r="D42" s="1" t="s">
        <v>103</v>
      </c>
      <c r="E42" s="1">
        <v>10</v>
      </c>
      <c r="F42" s="1">
        <v>10</v>
      </c>
      <c r="G42" s="1">
        <v>3</v>
      </c>
      <c r="H42" s="1" t="s">
        <v>98</v>
      </c>
      <c r="I42" s="1" t="s">
        <v>46</v>
      </c>
      <c r="J42" s="1">
        <f t="shared" si="0"/>
        <v>930</v>
      </c>
    </row>
    <row r="43" spans="1:10" x14ac:dyDescent="0.25">
      <c r="A43" s="5" t="s">
        <v>81</v>
      </c>
      <c r="B43" s="6" t="s">
        <v>112</v>
      </c>
      <c r="C43" s="1" t="s">
        <v>112</v>
      </c>
      <c r="D43" s="1" t="s">
        <v>103</v>
      </c>
      <c r="E43" s="1">
        <v>5</v>
      </c>
      <c r="F43" s="1">
        <v>3</v>
      </c>
      <c r="G43" s="1" t="s">
        <v>4</v>
      </c>
      <c r="H43" s="1" t="s">
        <v>98</v>
      </c>
      <c r="I43" s="1" t="s">
        <v>47</v>
      </c>
      <c r="J43" s="1">
        <f t="shared" si="0"/>
        <v>438</v>
      </c>
    </row>
    <row r="44" spans="1:10" x14ac:dyDescent="0.25">
      <c r="A44" s="5" t="s">
        <v>81</v>
      </c>
      <c r="B44" s="6" t="s">
        <v>108</v>
      </c>
      <c r="C44" s="1" t="s">
        <v>108</v>
      </c>
      <c r="D44" s="1" t="s">
        <v>103</v>
      </c>
      <c r="E44" s="1">
        <v>2</v>
      </c>
      <c r="F44" s="1">
        <v>1</v>
      </c>
      <c r="G44" s="1" t="s">
        <v>4</v>
      </c>
      <c r="H44" s="1" t="s">
        <v>98</v>
      </c>
      <c r="I44" s="1" t="s">
        <v>23</v>
      </c>
      <c r="J44" s="1">
        <f t="shared" si="0"/>
        <v>180</v>
      </c>
    </row>
    <row r="45" spans="1:10" x14ac:dyDescent="0.25">
      <c r="A45" s="5" t="s">
        <v>82</v>
      </c>
      <c r="B45" s="6" t="s">
        <v>105</v>
      </c>
      <c r="C45" s="1" t="s">
        <v>105</v>
      </c>
      <c r="D45" s="1" t="s">
        <v>103</v>
      </c>
      <c r="E45" s="1">
        <v>34</v>
      </c>
      <c r="F45" s="1">
        <v>40</v>
      </c>
      <c r="G45" s="1">
        <v>13</v>
      </c>
      <c r="H45" s="1" t="s">
        <v>104</v>
      </c>
      <c r="I45" s="1" t="s">
        <v>48</v>
      </c>
      <c r="J45" s="1">
        <f t="shared" si="0"/>
        <v>2913</v>
      </c>
    </row>
    <row r="46" spans="1:10" x14ac:dyDescent="0.25">
      <c r="A46" s="5" t="s">
        <v>82</v>
      </c>
      <c r="B46" s="6" t="s">
        <v>91</v>
      </c>
      <c r="C46" s="1" t="s">
        <v>92</v>
      </c>
      <c r="D46" s="1" t="s">
        <v>103</v>
      </c>
      <c r="E46" s="1">
        <v>12</v>
      </c>
      <c r="F46" s="1">
        <v>6</v>
      </c>
      <c r="G46" s="1">
        <v>4</v>
      </c>
      <c r="H46" s="1" t="s">
        <v>104</v>
      </c>
      <c r="I46" s="1" t="s">
        <v>49</v>
      </c>
      <c r="J46" s="1">
        <f t="shared" si="0"/>
        <v>1021</v>
      </c>
    </row>
    <row r="47" spans="1:10" x14ac:dyDescent="0.25">
      <c r="A47" s="5" t="s">
        <v>82</v>
      </c>
      <c r="B47" s="6" t="s">
        <v>112</v>
      </c>
      <c r="C47" s="1" t="s">
        <v>112</v>
      </c>
      <c r="D47" s="1" t="s">
        <v>103</v>
      </c>
      <c r="E47" s="1">
        <v>8</v>
      </c>
      <c r="F47" s="1">
        <v>7</v>
      </c>
      <c r="G47" s="1">
        <v>1</v>
      </c>
      <c r="H47" s="1" t="s">
        <v>99</v>
      </c>
      <c r="I47" s="1" t="s">
        <v>50</v>
      </c>
      <c r="J47" s="1">
        <f t="shared" si="0"/>
        <v>684</v>
      </c>
    </row>
    <row r="48" spans="1:10" x14ac:dyDescent="0.25">
      <c r="A48" s="5" t="s">
        <v>83</v>
      </c>
      <c r="B48" s="6" t="s">
        <v>105</v>
      </c>
      <c r="C48" s="1" t="s">
        <v>105</v>
      </c>
      <c r="D48" s="1" t="s">
        <v>103</v>
      </c>
      <c r="E48" s="1">
        <v>29</v>
      </c>
      <c r="F48" s="1">
        <v>26</v>
      </c>
      <c r="G48" s="1">
        <v>10</v>
      </c>
      <c r="H48" s="1" t="s">
        <v>116</v>
      </c>
      <c r="I48" s="1" t="s">
        <v>51</v>
      </c>
      <c r="J48" s="1">
        <f t="shared" si="0"/>
        <v>2465</v>
      </c>
    </row>
    <row r="49" spans="1:10" x14ac:dyDescent="0.25">
      <c r="A49" s="5" t="s">
        <v>83</v>
      </c>
      <c r="B49" s="6" t="s">
        <v>91</v>
      </c>
      <c r="C49" s="1" t="s">
        <v>92</v>
      </c>
      <c r="D49" s="1" t="s">
        <v>103</v>
      </c>
      <c r="E49" s="1">
        <v>6</v>
      </c>
      <c r="F49" s="1">
        <v>7</v>
      </c>
      <c r="G49" s="1">
        <v>1</v>
      </c>
      <c r="H49" s="1" t="s">
        <v>94</v>
      </c>
      <c r="I49" s="1" t="s">
        <v>52</v>
      </c>
      <c r="J49" s="1">
        <f t="shared" si="0"/>
        <v>450</v>
      </c>
    </row>
    <row r="50" spans="1:10" x14ac:dyDescent="0.25">
      <c r="A50" s="5" t="s">
        <v>84</v>
      </c>
      <c r="B50" s="6" t="s">
        <v>91</v>
      </c>
      <c r="C50" s="1" t="s">
        <v>92</v>
      </c>
      <c r="D50" s="1" t="s">
        <v>93</v>
      </c>
      <c r="E50" s="1">
        <v>12</v>
      </c>
      <c r="F50" s="1">
        <v>4</v>
      </c>
      <c r="G50" s="1">
        <v>3</v>
      </c>
      <c r="H50" s="1" t="s">
        <v>104</v>
      </c>
      <c r="I50" s="1" t="s">
        <v>53</v>
      </c>
      <c r="J50" s="1">
        <f t="shared" si="0"/>
        <v>1010</v>
      </c>
    </row>
    <row r="51" spans="1:10" x14ac:dyDescent="0.25">
      <c r="A51" s="5" t="s">
        <v>84</v>
      </c>
      <c r="B51" s="6" t="s">
        <v>95</v>
      </c>
      <c r="C51" s="1" t="s">
        <v>95</v>
      </c>
      <c r="D51" s="1" t="s">
        <v>93</v>
      </c>
      <c r="E51" s="1">
        <v>33</v>
      </c>
      <c r="F51" s="1">
        <v>18</v>
      </c>
      <c r="G51" s="1">
        <v>7</v>
      </c>
      <c r="H51" s="1" t="s">
        <v>117</v>
      </c>
      <c r="I51" s="1" t="s">
        <v>54</v>
      </c>
      <c r="J51" s="1">
        <f t="shared" si="0"/>
        <v>2745</v>
      </c>
    </row>
    <row r="52" spans="1:10" x14ac:dyDescent="0.25">
      <c r="A52" s="5" t="s">
        <v>84</v>
      </c>
      <c r="B52" s="6" t="s">
        <v>118</v>
      </c>
      <c r="C52" s="1" t="s">
        <v>119</v>
      </c>
      <c r="D52" s="1" t="s">
        <v>93</v>
      </c>
      <c r="E52" s="1">
        <v>4</v>
      </c>
      <c r="F52" s="1">
        <v>2</v>
      </c>
      <c r="G52" s="1" t="s">
        <v>4</v>
      </c>
      <c r="H52" s="1" t="s">
        <v>98</v>
      </c>
      <c r="I52" s="1" t="s">
        <v>55</v>
      </c>
      <c r="J52" s="1">
        <f t="shared" si="0"/>
        <v>240</v>
      </c>
    </row>
    <row r="53" spans="1:10" x14ac:dyDescent="0.25">
      <c r="A53" s="5" t="s">
        <v>84</v>
      </c>
      <c r="B53" s="6" t="s">
        <v>120</v>
      </c>
      <c r="C53" s="1" t="s">
        <v>120</v>
      </c>
      <c r="D53" s="1" t="s">
        <v>93</v>
      </c>
      <c r="E53" s="1">
        <v>2</v>
      </c>
      <c r="F53" s="1">
        <v>1</v>
      </c>
      <c r="G53" s="1">
        <v>1</v>
      </c>
      <c r="H53" s="1" t="s">
        <v>94</v>
      </c>
      <c r="I53" s="1" t="s">
        <v>56</v>
      </c>
      <c r="J53" s="1">
        <f t="shared" si="0"/>
        <v>144</v>
      </c>
    </row>
    <row r="54" spans="1:10" x14ac:dyDescent="0.25">
      <c r="A54" s="5" t="s">
        <v>84</v>
      </c>
      <c r="B54" s="6" t="s">
        <v>106</v>
      </c>
      <c r="C54" s="1" t="s">
        <v>107</v>
      </c>
      <c r="D54" s="1" t="s">
        <v>93</v>
      </c>
      <c r="E54" s="1">
        <v>2</v>
      </c>
      <c r="F54" s="1">
        <v>1</v>
      </c>
      <c r="G54" s="1">
        <v>1</v>
      </c>
      <c r="H54" s="1" t="s">
        <v>94</v>
      </c>
      <c r="I54" s="1" t="s">
        <v>23</v>
      </c>
      <c r="J54" s="1">
        <f t="shared" si="0"/>
        <v>180</v>
      </c>
    </row>
    <row r="55" spans="1:10" x14ac:dyDescent="0.25">
      <c r="A55" s="5" t="s">
        <v>85</v>
      </c>
      <c r="B55" s="6" t="s">
        <v>91</v>
      </c>
      <c r="C55" s="1" t="s">
        <v>92</v>
      </c>
      <c r="D55" s="1" t="s">
        <v>93</v>
      </c>
      <c r="E55" s="1">
        <v>11</v>
      </c>
      <c r="F55" s="1">
        <v>8</v>
      </c>
      <c r="G55" s="1">
        <v>1</v>
      </c>
      <c r="H55" s="1" t="s">
        <v>104</v>
      </c>
      <c r="I55" s="1" t="s">
        <v>57</v>
      </c>
      <c r="J55" s="1">
        <f t="shared" si="0"/>
        <v>1017</v>
      </c>
    </row>
    <row r="56" spans="1:10" x14ac:dyDescent="0.25">
      <c r="A56" s="5" t="s">
        <v>85</v>
      </c>
      <c r="B56" s="6" t="s">
        <v>95</v>
      </c>
      <c r="C56" s="1" t="s">
        <v>95</v>
      </c>
      <c r="D56" s="1" t="s">
        <v>93</v>
      </c>
      <c r="E56" s="1">
        <v>34</v>
      </c>
      <c r="F56" s="1">
        <v>31</v>
      </c>
      <c r="G56" s="1">
        <v>7</v>
      </c>
      <c r="H56" s="1" t="s">
        <v>121</v>
      </c>
      <c r="I56" s="1" t="s">
        <v>58</v>
      </c>
      <c r="J56" s="1">
        <f t="shared" si="0"/>
        <v>2747</v>
      </c>
    </row>
    <row r="57" spans="1:10" x14ac:dyDescent="0.25">
      <c r="A57" s="5" t="s">
        <v>85</v>
      </c>
      <c r="B57" s="6" t="s">
        <v>120</v>
      </c>
      <c r="C57" s="1" t="s">
        <v>120</v>
      </c>
      <c r="D57" s="1" t="s">
        <v>93</v>
      </c>
      <c r="E57" s="1">
        <v>3</v>
      </c>
      <c r="F57" s="1">
        <v>3</v>
      </c>
      <c r="G57" s="1" t="s">
        <v>4</v>
      </c>
      <c r="H57" s="1" t="s">
        <v>94</v>
      </c>
      <c r="I57" s="1" t="s">
        <v>59</v>
      </c>
      <c r="J57" s="1">
        <f t="shared" si="0"/>
        <v>270</v>
      </c>
    </row>
    <row r="58" spans="1:10" x14ac:dyDescent="0.25">
      <c r="A58" s="5" t="s">
        <v>85</v>
      </c>
      <c r="B58" s="6" t="s">
        <v>122</v>
      </c>
      <c r="C58" s="1" t="s">
        <v>122</v>
      </c>
      <c r="D58" s="1" t="s">
        <v>93</v>
      </c>
      <c r="E58" s="1">
        <v>1</v>
      </c>
      <c r="F58" s="1" t="s">
        <v>4</v>
      </c>
      <c r="G58" s="1" t="s">
        <v>4</v>
      </c>
      <c r="H58" s="1" t="s">
        <v>94</v>
      </c>
      <c r="I58" s="1" t="s">
        <v>60</v>
      </c>
      <c r="J58" s="1">
        <f t="shared" si="0"/>
        <v>120</v>
      </c>
    </row>
    <row r="59" spans="1:10" x14ac:dyDescent="0.25">
      <c r="A59" s="5" t="s">
        <v>86</v>
      </c>
      <c r="B59" s="6" t="s">
        <v>120</v>
      </c>
      <c r="C59" s="1" t="s">
        <v>120</v>
      </c>
      <c r="D59" s="1" t="s">
        <v>93</v>
      </c>
      <c r="E59" s="1">
        <v>7</v>
      </c>
      <c r="F59" s="1">
        <v>3</v>
      </c>
      <c r="G59" s="1">
        <v>1</v>
      </c>
      <c r="H59" s="1" t="s">
        <v>94</v>
      </c>
      <c r="I59" s="1" t="s">
        <v>61</v>
      </c>
      <c r="J59" s="1">
        <f t="shared" si="0"/>
        <v>558</v>
      </c>
    </row>
    <row r="60" spans="1:10" x14ac:dyDescent="0.25">
      <c r="A60" s="5" t="s">
        <v>86</v>
      </c>
      <c r="B60" s="6" t="s">
        <v>95</v>
      </c>
      <c r="C60" s="1" t="s">
        <v>95</v>
      </c>
      <c r="D60" s="1" t="s">
        <v>93</v>
      </c>
      <c r="E60" s="1">
        <v>34</v>
      </c>
      <c r="F60" s="1">
        <v>17</v>
      </c>
      <c r="G60" s="1">
        <v>16</v>
      </c>
      <c r="H60" s="1" t="s">
        <v>104</v>
      </c>
      <c r="I60" s="1" t="s">
        <v>62</v>
      </c>
      <c r="J60" s="1">
        <f t="shared" si="0"/>
        <v>2787</v>
      </c>
    </row>
    <row r="61" spans="1:10" x14ac:dyDescent="0.25">
      <c r="A61" s="5" t="s">
        <v>86</v>
      </c>
      <c r="B61" s="6" t="s">
        <v>91</v>
      </c>
      <c r="C61" s="1" t="s">
        <v>92</v>
      </c>
      <c r="D61" s="1" t="s">
        <v>93</v>
      </c>
      <c r="E61" s="1">
        <v>11</v>
      </c>
      <c r="F61" s="1">
        <v>3</v>
      </c>
      <c r="G61" s="1">
        <v>5</v>
      </c>
      <c r="H61" s="1" t="s">
        <v>99</v>
      </c>
      <c r="I61" s="1" t="s">
        <v>63</v>
      </c>
      <c r="J61" s="1">
        <f t="shared" si="0"/>
        <v>951</v>
      </c>
    </row>
    <row r="62" spans="1:10" x14ac:dyDescent="0.25">
      <c r="A62" s="5" t="s">
        <v>86</v>
      </c>
      <c r="B62" s="6" t="s">
        <v>118</v>
      </c>
      <c r="C62" s="1" t="s">
        <v>119</v>
      </c>
      <c r="D62" s="1" t="s">
        <v>93</v>
      </c>
      <c r="E62" s="1">
        <v>1</v>
      </c>
      <c r="F62" s="1" t="s">
        <v>4</v>
      </c>
      <c r="G62" s="1" t="s">
        <v>4</v>
      </c>
      <c r="H62" s="1" t="s">
        <v>94</v>
      </c>
      <c r="I62" s="1" t="s">
        <v>6</v>
      </c>
      <c r="J62" s="1">
        <f t="shared" si="0"/>
        <v>90</v>
      </c>
    </row>
    <row r="63" spans="1:10" x14ac:dyDescent="0.25">
      <c r="A63" s="5" t="s">
        <v>87</v>
      </c>
      <c r="B63" s="6" t="s">
        <v>95</v>
      </c>
      <c r="C63" s="1" t="s">
        <v>95</v>
      </c>
      <c r="D63" s="1" t="s">
        <v>93</v>
      </c>
      <c r="E63" s="1">
        <v>33</v>
      </c>
      <c r="F63" s="1">
        <v>9</v>
      </c>
      <c r="G63" s="1">
        <v>7</v>
      </c>
      <c r="H63" s="1" t="s">
        <v>123</v>
      </c>
      <c r="I63" s="1" t="s">
        <v>64</v>
      </c>
      <c r="J63" s="1">
        <f t="shared" si="0"/>
        <v>2286</v>
      </c>
    </row>
    <row r="64" spans="1:10" x14ac:dyDescent="0.25">
      <c r="A64" s="5" t="s">
        <v>87</v>
      </c>
      <c r="B64" s="6" t="s">
        <v>118</v>
      </c>
      <c r="C64" s="1" t="s">
        <v>119</v>
      </c>
      <c r="D64" s="1" t="s">
        <v>93</v>
      </c>
      <c r="E64" s="1">
        <v>4</v>
      </c>
      <c r="F64" s="1">
        <v>2</v>
      </c>
      <c r="G64" s="1">
        <v>1</v>
      </c>
      <c r="H64" s="1" t="s">
        <v>98</v>
      </c>
      <c r="I64" s="1" t="s">
        <v>65</v>
      </c>
      <c r="J64" s="1">
        <f t="shared" si="0"/>
        <v>343</v>
      </c>
    </row>
    <row r="65" spans="1:10" x14ac:dyDescent="0.25">
      <c r="A65" s="5" t="s">
        <v>87</v>
      </c>
      <c r="B65" s="6" t="s">
        <v>120</v>
      </c>
      <c r="C65" s="1" t="s">
        <v>120</v>
      </c>
      <c r="D65" s="1" t="s">
        <v>93</v>
      </c>
      <c r="E65" s="1">
        <v>2</v>
      </c>
      <c r="F65" s="1" t="s">
        <v>4</v>
      </c>
      <c r="G65" s="1" t="s">
        <v>4</v>
      </c>
      <c r="H65" s="1" t="s">
        <v>94</v>
      </c>
      <c r="I65" s="1" t="s">
        <v>66</v>
      </c>
      <c r="J65" s="1">
        <f t="shared" si="0"/>
        <v>121</v>
      </c>
    </row>
    <row r="66" spans="1:10" x14ac:dyDescent="0.25">
      <c r="A66" s="5" t="s">
        <v>87</v>
      </c>
      <c r="B66" s="6" t="s">
        <v>91</v>
      </c>
      <c r="C66" s="1" t="s">
        <v>92</v>
      </c>
      <c r="D66" s="1" t="s">
        <v>93</v>
      </c>
      <c r="E66" s="1">
        <v>6</v>
      </c>
      <c r="F66" s="1" t="s">
        <v>4</v>
      </c>
      <c r="G66" s="1" t="s">
        <v>4</v>
      </c>
      <c r="H66" s="1" t="s">
        <v>98</v>
      </c>
      <c r="I66" s="1" t="s">
        <v>67</v>
      </c>
      <c r="J66" s="1">
        <f t="shared" si="0"/>
        <v>506</v>
      </c>
    </row>
    <row r="67" spans="1:10" x14ac:dyDescent="0.25">
      <c r="A67" s="5" t="s">
        <v>87</v>
      </c>
      <c r="B67" s="6" t="s">
        <v>124</v>
      </c>
      <c r="C67" s="1" t="s">
        <v>125</v>
      </c>
      <c r="D67" s="1" t="s">
        <v>93</v>
      </c>
      <c r="E67" s="1">
        <v>2</v>
      </c>
      <c r="F67" s="1">
        <v>1</v>
      </c>
      <c r="G67" s="1">
        <v>1</v>
      </c>
      <c r="H67" s="1" t="s">
        <v>94</v>
      </c>
      <c r="I67" s="1" t="s">
        <v>68</v>
      </c>
      <c r="J67" s="1">
        <f t="shared" ref="J67:J81" si="1">VALUE(LEFT(I67,LEN(I67)-1))</f>
        <v>157</v>
      </c>
    </row>
    <row r="68" spans="1:10" x14ac:dyDescent="0.25">
      <c r="A68" s="5" t="s">
        <v>88</v>
      </c>
      <c r="B68" s="6" t="s">
        <v>120</v>
      </c>
      <c r="C68" s="1" t="s">
        <v>120</v>
      </c>
      <c r="D68" s="1" t="s">
        <v>93</v>
      </c>
      <c r="E68" s="1">
        <v>7</v>
      </c>
      <c r="F68" s="1">
        <v>4</v>
      </c>
      <c r="G68" s="1">
        <v>3</v>
      </c>
      <c r="H68" s="1" t="s">
        <v>98</v>
      </c>
      <c r="I68" s="1" t="s">
        <v>69</v>
      </c>
      <c r="J68" s="1">
        <f t="shared" si="1"/>
        <v>545</v>
      </c>
    </row>
    <row r="69" spans="1:10" x14ac:dyDescent="0.25">
      <c r="A69" s="5" t="s">
        <v>88</v>
      </c>
      <c r="B69" s="6" t="s">
        <v>95</v>
      </c>
      <c r="C69" s="1" t="s">
        <v>95</v>
      </c>
      <c r="D69" s="1" t="s">
        <v>93</v>
      </c>
      <c r="E69" s="1">
        <v>33</v>
      </c>
      <c r="F69" s="1">
        <v>5</v>
      </c>
      <c r="G69" s="1">
        <v>4</v>
      </c>
      <c r="H69" s="1" t="s">
        <v>99</v>
      </c>
      <c r="I69" s="1" t="s">
        <v>70</v>
      </c>
      <c r="J69" s="1">
        <f t="shared" si="1"/>
        <v>2425</v>
      </c>
    </row>
    <row r="70" spans="1:10" x14ac:dyDescent="0.25">
      <c r="A70" s="5" t="s">
        <v>88</v>
      </c>
      <c r="B70" s="6" t="s">
        <v>91</v>
      </c>
      <c r="C70" s="1" t="s">
        <v>92</v>
      </c>
      <c r="D70" s="1" t="s">
        <v>93</v>
      </c>
      <c r="E70" s="1">
        <v>7</v>
      </c>
      <c r="F70" s="1" t="s">
        <v>4</v>
      </c>
      <c r="G70" s="1">
        <v>2</v>
      </c>
      <c r="H70" s="1" t="s">
        <v>94</v>
      </c>
      <c r="I70" s="1" t="s">
        <v>71</v>
      </c>
      <c r="J70" s="1">
        <f t="shared" si="1"/>
        <v>502</v>
      </c>
    </row>
    <row r="71" spans="1:10" x14ac:dyDescent="0.25">
      <c r="A71" s="5" t="s">
        <v>88</v>
      </c>
      <c r="B71" s="6" t="s">
        <v>118</v>
      </c>
      <c r="C71" s="1" t="s">
        <v>119</v>
      </c>
      <c r="D71" s="1" t="s">
        <v>93</v>
      </c>
      <c r="E71" s="1">
        <v>2</v>
      </c>
      <c r="F71" s="1" t="s">
        <v>4</v>
      </c>
      <c r="G71" s="1" t="s">
        <v>4</v>
      </c>
      <c r="H71" s="1" t="s">
        <v>98</v>
      </c>
      <c r="I71" s="1" t="s">
        <v>23</v>
      </c>
      <c r="J71" s="1">
        <f t="shared" si="1"/>
        <v>180</v>
      </c>
    </row>
    <row r="72" spans="1:10" x14ac:dyDescent="0.25">
      <c r="A72" s="5" t="s">
        <v>88</v>
      </c>
      <c r="B72" s="6" t="s">
        <v>124</v>
      </c>
      <c r="C72" s="1" t="s">
        <v>125</v>
      </c>
      <c r="D72" s="1" t="s">
        <v>93</v>
      </c>
      <c r="E72" s="1">
        <v>1</v>
      </c>
      <c r="F72" s="1" t="s">
        <v>4</v>
      </c>
      <c r="G72" s="1" t="s">
        <v>4</v>
      </c>
      <c r="H72" s="1" t="s">
        <v>94</v>
      </c>
      <c r="I72" s="1" t="s">
        <v>72</v>
      </c>
      <c r="J72" s="1">
        <f t="shared" si="1"/>
        <v>64</v>
      </c>
    </row>
    <row r="73" spans="1:10" x14ac:dyDescent="0.25">
      <c r="A73" s="5" t="s">
        <v>89</v>
      </c>
      <c r="B73" s="6" t="s">
        <v>120</v>
      </c>
      <c r="C73" s="1" t="s">
        <v>120</v>
      </c>
      <c r="D73" s="1" t="s">
        <v>93</v>
      </c>
      <c r="E73" s="1">
        <v>5</v>
      </c>
      <c r="F73" s="1">
        <v>2</v>
      </c>
      <c r="G73" s="1">
        <v>4</v>
      </c>
      <c r="H73" s="1" t="s">
        <v>94</v>
      </c>
      <c r="I73" s="1" t="s">
        <v>73</v>
      </c>
      <c r="J73" s="1">
        <f t="shared" si="1"/>
        <v>436</v>
      </c>
    </row>
    <row r="74" spans="1:10" x14ac:dyDescent="0.25">
      <c r="A74" s="5" t="s">
        <v>89</v>
      </c>
      <c r="B74" s="6" t="s">
        <v>95</v>
      </c>
      <c r="C74" s="1" t="s">
        <v>95</v>
      </c>
      <c r="D74" s="1" t="s">
        <v>93</v>
      </c>
      <c r="E74" s="1">
        <v>29</v>
      </c>
      <c r="F74" s="1">
        <v>4</v>
      </c>
      <c r="G74" s="1">
        <v>4</v>
      </c>
      <c r="H74" s="1" t="s">
        <v>126</v>
      </c>
      <c r="I74" s="1" t="s">
        <v>74</v>
      </c>
      <c r="J74" s="1">
        <f t="shared" si="1"/>
        <v>1551</v>
      </c>
    </row>
    <row r="75" spans="1:10" x14ac:dyDescent="0.25">
      <c r="A75" s="5" t="s">
        <v>89</v>
      </c>
      <c r="B75" s="6" t="s">
        <v>91</v>
      </c>
      <c r="C75" s="1" t="s">
        <v>92</v>
      </c>
      <c r="D75" s="1" t="s">
        <v>93</v>
      </c>
      <c r="E75" s="1">
        <v>5</v>
      </c>
      <c r="F75" s="1" t="s">
        <v>4</v>
      </c>
      <c r="G75" s="1">
        <v>1</v>
      </c>
      <c r="H75" s="1" t="s">
        <v>94</v>
      </c>
      <c r="I75" s="1" t="s">
        <v>75</v>
      </c>
      <c r="J75" s="1">
        <f t="shared" si="1"/>
        <v>291</v>
      </c>
    </row>
    <row r="76" spans="1:10" x14ac:dyDescent="0.25">
      <c r="A76" s="5" t="s">
        <v>89</v>
      </c>
      <c r="B76" s="6" t="s">
        <v>118</v>
      </c>
      <c r="C76" s="1" t="s">
        <v>119</v>
      </c>
      <c r="D76" s="1" t="s">
        <v>93</v>
      </c>
      <c r="E76" s="1">
        <v>1</v>
      </c>
      <c r="F76" s="1" t="s">
        <v>4</v>
      </c>
      <c r="G76" s="1" t="s">
        <v>4</v>
      </c>
      <c r="H76" s="1" t="s">
        <v>94</v>
      </c>
      <c r="I76" s="1" t="s">
        <v>76</v>
      </c>
      <c r="J76" s="1">
        <f t="shared" si="1"/>
        <v>77</v>
      </c>
    </row>
    <row r="77" spans="1:10" x14ac:dyDescent="0.25">
      <c r="A77" s="5" t="s">
        <v>90</v>
      </c>
      <c r="B77" s="6" t="s">
        <v>127</v>
      </c>
      <c r="C77" s="1" t="s">
        <v>128</v>
      </c>
      <c r="D77" s="1" t="s">
        <v>129</v>
      </c>
      <c r="E77" s="1">
        <v>25</v>
      </c>
      <c r="F77" s="1">
        <v>3</v>
      </c>
      <c r="G77" s="1">
        <v>5</v>
      </c>
      <c r="H77" s="1" t="s">
        <v>98</v>
      </c>
      <c r="I77" s="1" t="s">
        <v>77</v>
      </c>
      <c r="J77" s="1">
        <f t="shared" si="1"/>
        <v>1069</v>
      </c>
    </row>
    <row r="78" spans="1:10" x14ac:dyDescent="0.25">
      <c r="A78" s="5" t="s">
        <v>90</v>
      </c>
      <c r="B78" s="6" t="s">
        <v>130</v>
      </c>
      <c r="C78" s="1" t="s">
        <v>130</v>
      </c>
      <c r="D78" s="1" t="s">
        <v>129</v>
      </c>
      <c r="E78" s="1">
        <v>3</v>
      </c>
      <c r="F78" s="1">
        <v>2</v>
      </c>
      <c r="G78" s="1" t="s">
        <v>4</v>
      </c>
      <c r="H78" s="1" t="s">
        <v>94</v>
      </c>
      <c r="I78" s="1" t="s">
        <v>78</v>
      </c>
      <c r="J78" s="1">
        <f t="shared" si="1"/>
        <v>172</v>
      </c>
    </row>
    <row r="79" spans="1:10" x14ac:dyDescent="0.25">
      <c r="A79" s="5" t="s">
        <v>90</v>
      </c>
      <c r="B79" s="6" t="s">
        <v>131</v>
      </c>
      <c r="C79" s="1" t="s">
        <v>132</v>
      </c>
      <c r="D79" s="1" t="s">
        <v>129</v>
      </c>
      <c r="E79" s="1">
        <v>2</v>
      </c>
      <c r="F79" s="1" t="s">
        <v>4</v>
      </c>
      <c r="G79" s="1">
        <v>1</v>
      </c>
      <c r="H79" s="1" t="s">
        <v>94</v>
      </c>
      <c r="I79" s="1" t="s">
        <v>19</v>
      </c>
      <c r="J79" s="1">
        <f t="shared" si="1"/>
        <v>118</v>
      </c>
    </row>
    <row r="80" spans="1:10" x14ac:dyDescent="0.25">
      <c r="A80" s="5" t="s">
        <v>90</v>
      </c>
      <c r="B80" s="6" t="s">
        <v>133</v>
      </c>
      <c r="C80" s="1" t="s">
        <v>134</v>
      </c>
      <c r="D80" s="1" t="s">
        <v>129</v>
      </c>
      <c r="E80" s="1" t="s">
        <v>4</v>
      </c>
      <c r="F80" s="1" t="s">
        <v>4</v>
      </c>
      <c r="G80" s="1" t="s">
        <v>4</v>
      </c>
      <c r="H80" s="1" t="s">
        <v>94</v>
      </c>
      <c r="I80" s="1" t="s">
        <v>4</v>
      </c>
      <c r="J80" s="1">
        <v>0</v>
      </c>
    </row>
    <row r="81" spans="1:10" x14ac:dyDescent="0.25">
      <c r="A81" s="5" t="s">
        <v>90</v>
      </c>
      <c r="B81" s="6" t="s">
        <v>124</v>
      </c>
      <c r="C81" s="1" t="s">
        <v>125</v>
      </c>
      <c r="D81" s="1" t="s">
        <v>129</v>
      </c>
      <c r="E81" s="1">
        <v>1</v>
      </c>
      <c r="F81" s="1" t="s">
        <v>4</v>
      </c>
      <c r="G81" s="1" t="s">
        <v>4</v>
      </c>
      <c r="H81" s="1" t="s">
        <v>94</v>
      </c>
      <c r="I81" s="1" t="s">
        <v>79</v>
      </c>
      <c r="J81" s="1">
        <f t="shared" si="1"/>
        <v>32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25774-3ADC-4A49-A905-8FDCD61C2A15}">
  <dimension ref="A3:V5"/>
  <sheetViews>
    <sheetView workbookViewId="0">
      <selection activeCell="I19" sqref="I19"/>
    </sheetView>
  </sheetViews>
  <sheetFormatPr defaultRowHeight="15" x14ac:dyDescent="0.25"/>
  <cols>
    <col min="1" max="1" width="16.5703125" bestFit="1" customWidth="1"/>
    <col min="2" max="2" width="16.28515625" bestFit="1" customWidth="1"/>
    <col min="3" max="21" width="5.85546875" bestFit="1" customWidth="1"/>
    <col min="22" max="22" width="11.28515625" bestFit="1" customWidth="1"/>
  </cols>
  <sheetData>
    <row r="3" spans="1:22" x14ac:dyDescent="0.25">
      <c r="B3" s="7" t="s">
        <v>146</v>
      </c>
    </row>
    <row r="4" spans="1:22" x14ac:dyDescent="0.25">
      <c r="B4" t="s">
        <v>90</v>
      </c>
      <c r="C4" t="s">
        <v>89</v>
      </c>
      <c r="D4" t="s">
        <v>88</v>
      </c>
      <c r="E4" t="s">
        <v>87</v>
      </c>
      <c r="F4" t="s">
        <v>86</v>
      </c>
      <c r="G4" t="s">
        <v>85</v>
      </c>
      <c r="H4" t="s">
        <v>84</v>
      </c>
      <c r="I4" t="s">
        <v>83</v>
      </c>
      <c r="J4" t="s">
        <v>82</v>
      </c>
      <c r="K4" t="s">
        <v>81</v>
      </c>
      <c r="L4" t="s">
        <v>80</v>
      </c>
      <c r="M4" t="s">
        <v>38</v>
      </c>
      <c r="N4" t="s">
        <v>33</v>
      </c>
      <c r="O4" t="s">
        <v>30</v>
      </c>
      <c r="P4" t="s">
        <v>26</v>
      </c>
      <c r="Q4" t="s">
        <v>20</v>
      </c>
      <c r="R4" t="s">
        <v>16</v>
      </c>
      <c r="S4" t="s">
        <v>12</v>
      </c>
      <c r="T4" t="s">
        <v>8</v>
      </c>
      <c r="U4" t="s">
        <v>3</v>
      </c>
      <c r="V4" t="s">
        <v>145</v>
      </c>
    </row>
    <row r="5" spans="1:22" x14ac:dyDescent="0.25">
      <c r="A5" t="s">
        <v>147</v>
      </c>
      <c r="B5" s="8">
        <v>1391</v>
      </c>
      <c r="C5" s="8">
        <v>2355</v>
      </c>
      <c r="D5" s="8">
        <v>3716</v>
      </c>
      <c r="E5" s="8">
        <v>3413</v>
      </c>
      <c r="F5" s="8">
        <v>4386</v>
      </c>
      <c r="G5" s="8">
        <v>4154</v>
      </c>
      <c r="H5" s="8">
        <v>4319</v>
      </c>
      <c r="I5" s="8">
        <v>2915</v>
      </c>
      <c r="J5" s="8">
        <v>4618</v>
      </c>
      <c r="K5" s="8">
        <v>4902</v>
      </c>
      <c r="L5" s="8">
        <v>4631</v>
      </c>
      <c r="M5" s="8">
        <v>4030</v>
      </c>
      <c r="N5" s="8">
        <v>4640</v>
      </c>
      <c r="O5" s="8">
        <v>4293</v>
      </c>
      <c r="P5" s="8">
        <v>4126</v>
      </c>
      <c r="Q5" s="8">
        <v>3678</v>
      </c>
      <c r="R5" s="8">
        <v>3646</v>
      </c>
      <c r="S5" s="8">
        <v>4081</v>
      </c>
      <c r="T5" s="8">
        <v>3751</v>
      </c>
      <c r="U5" s="8">
        <v>192</v>
      </c>
      <c r="V5" s="8">
        <v>73237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Minutes</vt:lpstr>
      <vt:lpstr>Lionel Messi</vt:lpstr>
      <vt:lpstr>Lionel Messi PT</vt:lpstr>
      <vt:lpstr>Cristiano Ronaldo</vt:lpstr>
      <vt:lpstr>Cristiano Ronaldo 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Suat</dc:creator>
  <cp:lastModifiedBy>Mehmet Suat</cp:lastModifiedBy>
  <dcterms:created xsi:type="dcterms:W3CDTF">2015-06-05T18:17:20Z</dcterms:created>
  <dcterms:modified xsi:type="dcterms:W3CDTF">2021-09-18T00:54:33Z</dcterms:modified>
</cp:coreProperties>
</file>