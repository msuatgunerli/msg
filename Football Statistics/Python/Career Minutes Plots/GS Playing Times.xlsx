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esktop\Programming\Langs\Sports Analytics\Football\Python\Career Minutes Plots\"/>
    </mc:Choice>
  </mc:AlternateContent>
  <xr:revisionPtr revIDLastSave="0" documentId="13_ncr:1_{19E0CF2E-95DA-4F6C-B6A5-15E39F254FDD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1" l="1"/>
  <c r="V3" i="1"/>
  <c r="V8" i="1"/>
  <c r="U8" i="1"/>
  <c r="T8" i="1"/>
  <c r="S8" i="1"/>
  <c r="Q8" i="1"/>
  <c r="P8" i="1"/>
  <c r="O8" i="1"/>
  <c r="N8" i="1"/>
  <c r="M8" i="1"/>
  <c r="L8" i="1"/>
  <c r="K8" i="1"/>
  <c r="J8" i="1"/>
  <c r="I8" i="1"/>
  <c r="H8" i="1"/>
  <c r="G8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V6" i="1"/>
  <c r="T6" i="1"/>
  <c r="S6" i="1"/>
  <c r="R6" i="1"/>
  <c r="Q6" i="1"/>
  <c r="P6" i="1"/>
  <c r="O6" i="1"/>
  <c r="N6" i="1"/>
  <c r="V5" i="1"/>
  <c r="U5" i="1"/>
  <c r="T5" i="1"/>
  <c r="S5" i="1"/>
  <c r="T3" i="1"/>
  <c r="S3" i="1"/>
  <c r="R4" i="1"/>
  <c r="V4" i="1"/>
  <c r="U4" i="1"/>
  <c r="T4" i="1"/>
  <c r="S4" i="1"/>
  <c r="U3" i="1"/>
  <c r="V2" i="1"/>
  <c r="U2" i="1"/>
  <c r="T2" i="1"/>
  <c r="S2" i="1"/>
  <c r="R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<sst xmlns="http://schemas.openxmlformats.org/spreadsheetml/2006/main" count="11" uniqueCount="11">
  <si>
    <t>Player</t>
  </si>
  <si>
    <t>Date of Birth</t>
  </si>
  <si>
    <t>Sofiane Feghouli</t>
  </si>
  <si>
    <t>Victor Nelsson</t>
  </si>
  <si>
    <t>Olimpiu Morutan</t>
  </si>
  <si>
    <t>Alexandru Cicaldau</t>
  </si>
  <si>
    <t>Emre Kılınç</t>
  </si>
  <si>
    <t>Arda Turan</t>
  </si>
  <si>
    <t>Ryan Babel</t>
  </si>
  <si>
    <t>Cristiano Ronaldo</t>
  </si>
  <si>
    <t>Lionel 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</si>
</sst>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zoomScale="85" zoomScaleNormal="85" workbookViewId="0">
      <selection activeCell="E11" sqref="E11"/>
    </sheetView>
  </sheetViews>
  <sheetFormatPr defaultColWidth="10.7109375" defaultRowHeight="15" x14ac:dyDescent="0.25"/>
  <cols>
    <col min="1" max="1" width="18.28515625" style="1" bestFit="1" customWidth="1"/>
    <col min="2" max="2" width="12.140625" style="2" bestFit="1" customWidth="1"/>
    <col min="3" max="18" width="10.7109375" style="1" customWidth="1"/>
    <col min="19" max="16384" width="10.7109375" style="1"/>
  </cols>
  <sheetData>
    <row r="1" spans="1:23" x14ac:dyDescent="0.25">
      <c r="A1" s="1" t="s">
        <v>0</v>
      </c>
      <c r="B1" s="2" t="s">
        <v>1</v>
      </c>
      <c r="C1" s="2">
        <v>37072</v>
      </c>
      <c r="D1" s="2">
        <v>37437</v>
      </c>
      <c r="E1" s="2">
        <v>37802</v>
      </c>
      <c r="F1" s="2">
        <v>38168</v>
      </c>
      <c r="G1" s="2">
        <v>38533</v>
      </c>
      <c r="H1" s="2">
        <v>38898</v>
      </c>
      <c r="I1" s="2">
        <v>39263</v>
      </c>
      <c r="J1" s="2">
        <v>39629</v>
      </c>
      <c r="K1" s="2">
        <v>39994</v>
      </c>
      <c r="L1" s="2">
        <v>40359</v>
      </c>
      <c r="M1" s="2">
        <v>40724</v>
      </c>
      <c r="N1" s="2">
        <v>41090</v>
      </c>
      <c r="O1" s="2">
        <v>41455</v>
      </c>
      <c r="P1" s="2">
        <v>41820</v>
      </c>
      <c r="Q1" s="2">
        <v>42185</v>
      </c>
      <c r="R1" s="2">
        <v>42551</v>
      </c>
      <c r="S1" s="2">
        <v>42916</v>
      </c>
      <c r="T1" s="2">
        <v>43281</v>
      </c>
      <c r="U1" s="2">
        <v>43646</v>
      </c>
      <c r="V1" s="2">
        <v>44012</v>
      </c>
      <c r="W1" s="2">
        <v>44377</v>
      </c>
    </row>
    <row r="2" spans="1:23" x14ac:dyDescent="0.25">
      <c r="A2" s="1" t="s">
        <v>2</v>
      </c>
      <c r="B2" s="2">
        <v>32868</v>
      </c>
      <c r="I2" s="1">
        <v>79</v>
      </c>
      <c r="J2" s="1">
        <v>1420</v>
      </c>
      <c r="K2" s="1">
        <f>173+1827</f>
        <v>2000</v>
      </c>
      <c r="L2" s="1">
        <f>323+90</f>
        <v>413</v>
      </c>
      <c r="M2" s="1">
        <f>31+9+120+344</f>
        <v>504</v>
      </c>
      <c r="N2" s="1">
        <f>2098+511+240+293</f>
        <v>3142</v>
      </c>
      <c r="O2" s="1">
        <f>2102+647+153</f>
        <v>2902</v>
      </c>
      <c r="P2" s="1">
        <f>2067+648+170</f>
        <v>2885</v>
      </c>
      <c r="Q2" s="1">
        <v>1931</v>
      </c>
      <c r="R2" s="1">
        <f>1257+110+94+84+411+180</f>
        <v>2136</v>
      </c>
      <c r="S2" s="1">
        <f>1037+90+159+45+177</f>
        <v>1508</v>
      </c>
      <c r="T2" s="1">
        <f>1972+219</f>
        <v>2191</v>
      </c>
      <c r="U2" s="1">
        <f>120+136+173+567+2108</f>
        <v>3104</v>
      </c>
      <c r="V2" s="1">
        <f>2201+269+342+9</f>
        <v>2821</v>
      </c>
      <c r="W2" s="1">
        <v>1381</v>
      </c>
    </row>
    <row r="3" spans="1:23" x14ac:dyDescent="0.25">
      <c r="A3" s="1" t="s">
        <v>3</v>
      </c>
      <c r="B3" s="2">
        <v>36082</v>
      </c>
      <c r="S3" s="1">
        <f>896+193+90</f>
        <v>1179</v>
      </c>
      <c r="T3" s="1">
        <f>2250+120+700</f>
        <v>3070</v>
      </c>
      <c r="U3" s="1">
        <f>2235+90+450+810</f>
        <v>3585</v>
      </c>
      <c r="V3" s="1">
        <f>390+180+300+2139+900+930</f>
        <v>4839</v>
      </c>
      <c r="W3" s="1">
        <v>2617</v>
      </c>
    </row>
    <row r="4" spans="1:23" x14ac:dyDescent="0.25">
      <c r="A4" s="1" t="s">
        <v>4</v>
      </c>
      <c r="B4" s="2">
        <v>36275</v>
      </c>
      <c r="R4" s="1">
        <f>234+80</f>
        <v>314</v>
      </c>
      <c r="S4" s="1">
        <f>349+418</f>
        <v>767</v>
      </c>
      <c r="T4" s="1">
        <f>1818+135+591</f>
        <v>2544</v>
      </c>
      <c r="U4" s="1">
        <f>250+180+830+185</f>
        <v>1445</v>
      </c>
      <c r="V4" s="1">
        <f>734+373+483</f>
        <v>1590</v>
      </c>
      <c r="W4" s="1">
        <v>2838</v>
      </c>
    </row>
    <row r="5" spans="1:23" x14ac:dyDescent="0.25">
      <c r="A5" s="1" t="s">
        <v>5</v>
      </c>
      <c r="B5" s="2">
        <v>35619</v>
      </c>
      <c r="R5" s="1">
        <v>246</v>
      </c>
      <c r="S5" s="1">
        <f>22+224+187</f>
        <v>433</v>
      </c>
      <c r="T5" s="1">
        <f>90+1964+90+172+90</f>
        <v>2406</v>
      </c>
      <c r="U5" s="1">
        <f>900+349+2133+180+90</f>
        <v>3652</v>
      </c>
      <c r="V5" s="1">
        <f>810+270+1997+447</f>
        <v>3524</v>
      </c>
      <c r="W5" s="1">
        <v>3512</v>
      </c>
    </row>
    <row r="6" spans="1:23" x14ac:dyDescent="0.25">
      <c r="A6" s="1" t="s">
        <v>6</v>
      </c>
      <c r="B6" s="2">
        <v>34569</v>
      </c>
      <c r="N6" s="1">
        <f>99+27</f>
        <v>126</v>
      </c>
      <c r="O6" s="1">
        <f>44+648</f>
        <v>692</v>
      </c>
      <c r="P6" s="1">
        <f>2624</f>
        <v>2624</v>
      </c>
      <c r="Q6" s="1">
        <f>2695</f>
        <v>2695</v>
      </c>
      <c r="R6" s="1">
        <f>2378+474</f>
        <v>2852</v>
      </c>
      <c r="S6" s="1">
        <f>1389+370+1182</f>
        <v>2941</v>
      </c>
      <c r="T6" s="1">
        <f>2750+93</f>
        <v>2843</v>
      </c>
      <c r="U6" s="1">
        <v>2639</v>
      </c>
      <c r="V6" s="1">
        <f>2340+225</f>
        <v>2565</v>
      </c>
      <c r="W6" s="1">
        <v>2693</v>
      </c>
    </row>
    <row r="7" spans="1:23" x14ac:dyDescent="0.25">
      <c r="A7" s="1" t="s">
        <v>7</v>
      </c>
      <c r="B7" s="2">
        <v>31807</v>
      </c>
      <c r="G7" s="1">
        <v>56</v>
      </c>
      <c r="H7" s="1">
        <v>1115</v>
      </c>
      <c r="I7" s="1">
        <f>2049+298+391+110</f>
        <v>2848</v>
      </c>
      <c r="J7" s="1">
        <f>2419+578+555</f>
        <v>3552</v>
      </c>
      <c r="K7" s="1">
        <f>2471+745+511+180</f>
        <v>3907</v>
      </c>
      <c r="L7" s="1">
        <f>2272+478+468+413</f>
        <v>3631</v>
      </c>
      <c r="M7" s="1">
        <f>817+224+352</f>
        <v>1393</v>
      </c>
      <c r="N7" s="1">
        <f>2162+874</f>
        <v>3036</v>
      </c>
      <c r="O7" s="1">
        <f>90+90+578+2157</f>
        <v>2915</v>
      </c>
      <c r="P7" s="1">
        <f>148+282+637+1924</f>
        <v>2991</v>
      </c>
      <c r="Q7" s="1">
        <f>2346+829+209</f>
        <v>3384</v>
      </c>
      <c r="R7" s="1">
        <f>46+810+314</f>
        <v>1170</v>
      </c>
      <c r="S7" s="1">
        <f>1244+266+171+166</f>
        <v>1847</v>
      </c>
      <c r="T7" s="1">
        <f>623</f>
        <v>623</v>
      </c>
      <c r="U7" s="1">
        <f>705+88</f>
        <v>793</v>
      </c>
      <c r="V7" s="1">
        <f>179+74+44</f>
        <v>297</v>
      </c>
      <c r="W7" s="1">
        <v>1721</v>
      </c>
    </row>
    <row r="8" spans="1:23" x14ac:dyDescent="0.25">
      <c r="A8" s="1" t="s">
        <v>8</v>
      </c>
      <c r="B8" s="2">
        <v>31765</v>
      </c>
      <c r="F8" s="1">
        <v>90</v>
      </c>
      <c r="G8" s="1">
        <f>169+180+127+1272</f>
        <v>1748</v>
      </c>
      <c r="H8" s="1">
        <f>106+56+1249+307+270</f>
        <v>1988</v>
      </c>
      <c r="I8" s="1">
        <f>68+112+350+2113+257+349</f>
        <v>3249</v>
      </c>
      <c r="J8" s="1">
        <f>105+163+319+599+1418</f>
        <v>2604</v>
      </c>
      <c r="K8" s="1">
        <f>59+180+184+381+839</f>
        <v>1643</v>
      </c>
      <c r="L8" s="1">
        <f>180+51+74+446+955</f>
        <v>1706</v>
      </c>
      <c r="M8" s="1">
        <f>1300+90+194+30+336+190+49</f>
        <v>2189</v>
      </c>
      <c r="N8" s="1">
        <f>2448+283</f>
        <v>2731</v>
      </c>
      <c r="O8" s="1">
        <f>89+341+74</f>
        <v>504</v>
      </c>
      <c r="P8" s="1">
        <f>2389+90</f>
        <v>2479</v>
      </c>
      <c r="Q8" s="1">
        <f>2480</f>
        <v>2480</v>
      </c>
      <c r="R8" s="1">
        <v>367</v>
      </c>
      <c r="S8" s="1">
        <f>560+89+90+570+1509</f>
        <v>2818</v>
      </c>
      <c r="T8" s="1">
        <f>2684+392+555+90</f>
        <v>3721</v>
      </c>
      <c r="U8" s="1">
        <f>1260+1029+165+347</f>
        <v>2801</v>
      </c>
      <c r="V8" s="1">
        <f>180+386+146+1244+334+90</f>
        <v>2380</v>
      </c>
      <c r="W8" s="1">
        <f>238+113+1585</f>
        <v>1936</v>
      </c>
    </row>
    <row r="9" spans="1:23" x14ac:dyDescent="0.25">
      <c r="A9" s="1" t="s">
        <v>9</v>
      </c>
      <c r="B9" s="2">
        <v>31169</v>
      </c>
      <c r="E9" s="1">
        <v>1391</v>
      </c>
      <c r="F9" s="1">
        <v>2355</v>
      </c>
      <c r="G9" s="1">
        <v>3716</v>
      </c>
      <c r="H9" s="1">
        <v>3413</v>
      </c>
      <c r="I9" s="1">
        <v>4386</v>
      </c>
      <c r="J9" s="1">
        <v>4154</v>
      </c>
      <c r="K9" s="1">
        <v>4319</v>
      </c>
      <c r="L9" s="1">
        <v>2915</v>
      </c>
      <c r="M9" s="1">
        <v>4618</v>
      </c>
      <c r="N9" s="1">
        <v>4902</v>
      </c>
      <c r="O9" s="1">
        <v>4631</v>
      </c>
      <c r="P9" s="1">
        <v>4030</v>
      </c>
      <c r="Q9" s="1">
        <v>4640</v>
      </c>
      <c r="R9" s="1">
        <v>4293</v>
      </c>
      <c r="S9" s="1">
        <v>4126</v>
      </c>
      <c r="T9" s="1">
        <v>3678</v>
      </c>
      <c r="U9" s="1">
        <v>3646</v>
      </c>
      <c r="V9" s="1">
        <v>4081</v>
      </c>
      <c r="W9" s="1">
        <v>3751</v>
      </c>
    </row>
    <row r="10" spans="1:23" x14ac:dyDescent="0.25">
      <c r="A10" s="1" t="s">
        <v>10</v>
      </c>
      <c r="B10" s="2">
        <v>31952</v>
      </c>
      <c r="G10" s="1">
        <v>238</v>
      </c>
      <c r="H10" s="1">
        <v>1414</v>
      </c>
      <c r="I10" s="1">
        <v>2763</v>
      </c>
      <c r="J10" s="1">
        <v>2954</v>
      </c>
      <c r="K10" s="1">
        <v>3890</v>
      </c>
      <c r="L10" s="1">
        <v>4402</v>
      </c>
      <c r="M10" s="1">
        <v>4579</v>
      </c>
      <c r="N10" s="1">
        <v>5221</v>
      </c>
      <c r="O10" s="1">
        <v>4070</v>
      </c>
      <c r="P10" s="1">
        <v>3742</v>
      </c>
      <c r="Q10" s="1">
        <v>5060</v>
      </c>
      <c r="R10" s="1">
        <v>4229</v>
      </c>
      <c r="S10" s="1">
        <v>4452</v>
      </c>
      <c r="T10" s="1">
        <v>4468</v>
      </c>
      <c r="U10" s="1">
        <v>4023</v>
      </c>
      <c r="V10" s="1">
        <v>3810</v>
      </c>
      <c r="W10" s="1">
        <v>4192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Suat</dc:creator>
  <cp:lastModifiedBy>Mehmet Suat</cp:lastModifiedBy>
  <dcterms:created xsi:type="dcterms:W3CDTF">2015-06-05T18:17:20Z</dcterms:created>
  <dcterms:modified xsi:type="dcterms:W3CDTF">2021-09-18T00:54:27Z</dcterms:modified>
</cp:coreProperties>
</file>